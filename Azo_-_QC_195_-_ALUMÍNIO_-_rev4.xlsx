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6380" windowHeight="8190" tabRatio="500" firstSheet="1" activeTab="1"/>
  </bookViews>
  <sheets>
    <sheet name="QC001  (2)" sheetId="1" state="hidden" r:id="rId1"/>
    <sheet name="QC0003" sheetId="2" r:id="rId2"/>
  </sheets>
  <calcPr calcId="14562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64" i="2" l="1"/>
  <c r="E163" i="2"/>
  <c r="E162" i="2"/>
  <c r="E161" i="2"/>
  <c r="E160" i="2"/>
  <c r="E159" i="2"/>
  <c r="E158" i="2"/>
  <c r="E157" i="2"/>
  <c r="E156" i="2"/>
  <c r="E155" i="2"/>
  <c r="E154" i="2"/>
  <c r="E153" i="2"/>
  <c r="E165" i="2" s="1"/>
  <c r="E152" i="2"/>
  <c r="AG127" i="2"/>
  <c r="B124" i="2"/>
  <c r="D123" i="2"/>
  <c r="AP121" i="2"/>
  <c r="AP124" i="2" s="1"/>
  <c r="AP128" i="2" s="1"/>
  <c r="AQ120" i="2"/>
  <c r="AP120" i="2"/>
  <c r="AI120" i="2"/>
  <c r="R120" i="2"/>
  <c r="L120" i="2"/>
  <c r="AQ119" i="2"/>
  <c r="AP119" i="2"/>
  <c r="AI119" i="2"/>
  <c r="R119" i="2"/>
  <c r="L119" i="2"/>
  <c r="AQ118" i="2"/>
  <c r="AP118" i="2"/>
  <c r="AI118" i="2"/>
  <c r="R118" i="2"/>
  <c r="L118" i="2"/>
  <c r="AP117" i="2"/>
  <c r="AQ117" i="2" s="1"/>
  <c r="AI117" i="2"/>
  <c r="AQ116" i="2"/>
  <c r="AP116" i="2"/>
  <c r="AD116" i="2"/>
  <c r="AA116" i="2"/>
  <c r="X116" i="2"/>
  <c r="U116" i="2"/>
  <c r="R116" i="2"/>
  <c r="O116" i="2"/>
  <c r="L116" i="2"/>
  <c r="I116" i="2"/>
  <c r="AQ115" i="2"/>
  <c r="AP115" i="2"/>
  <c r="AD115" i="2"/>
  <c r="AA115" i="2"/>
  <c r="X115" i="2"/>
  <c r="U115" i="2"/>
  <c r="R115" i="2"/>
  <c r="O115" i="2"/>
  <c r="L115" i="2"/>
  <c r="I115" i="2"/>
  <c r="AQ114" i="2"/>
  <c r="AP114" i="2"/>
  <c r="AQ113" i="2"/>
  <c r="AP113" i="2"/>
  <c r="AD113" i="2"/>
  <c r="AA113" i="2"/>
  <c r="X113" i="2"/>
  <c r="U113" i="2"/>
  <c r="R113" i="2"/>
  <c r="O113" i="2"/>
  <c r="L113" i="2"/>
  <c r="I113" i="2"/>
  <c r="AQ112" i="2"/>
  <c r="AP112" i="2"/>
  <c r="AD112" i="2"/>
  <c r="AA112" i="2"/>
  <c r="X112" i="2"/>
  <c r="U112" i="2"/>
  <c r="R112" i="2"/>
  <c r="O112" i="2"/>
  <c r="L112" i="2"/>
  <c r="I112" i="2"/>
  <c r="AQ111" i="2"/>
  <c r="AP111" i="2"/>
  <c r="AD111" i="2"/>
  <c r="AA111" i="2"/>
  <c r="X111" i="2"/>
  <c r="U111" i="2"/>
  <c r="R111" i="2"/>
  <c r="O111" i="2"/>
  <c r="L111" i="2"/>
  <c r="I111" i="2"/>
  <c r="AQ110" i="2"/>
  <c r="AP110" i="2"/>
  <c r="AD110" i="2"/>
  <c r="AA110" i="2"/>
  <c r="X110" i="2"/>
  <c r="U110" i="2"/>
  <c r="O110" i="2"/>
  <c r="AQ109" i="2"/>
  <c r="AP109" i="2"/>
  <c r="AP108" i="2"/>
  <c r="AQ108" i="2" s="1"/>
  <c r="AQ107" i="2"/>
  <c r="AP107" i="2"/>
  <c r="AD107" i="2"/>
  <c r="AA107" i="2"/>
  <c r="X107" i="2"/>
  <c r="R107" i="2"/>
  <c r="O107" i="2"/>
  <c r="I107" i="2"/>
  <c r="AQ106" i="2"/>
  <c r="AP106" i="2"/>
  <c r="AD106" i="2"/>
  <c r="AA106" i="2"/>
  <c r="X106" i="2"/>
  <c r="O106" i="2"/>
  <c r="I106" i="2"/>
  <c r="AQ105" i="2"/>
  <c r="AP105" i="2"/>
  <c r="AQ104" i="2"/>
  <c r="AP104" i="2"/>
  <c r="AQ103" i="2"/>
  <c r="AP103" i="2"/>
  <c r="AI103" i="2"/>
  <c r="AD103" i="2"/>
  <c r="AA103" i="2"/>
  <c r="X103" i="2"/>
  <c r="U103" i="2"/>
  <c r="O103" i="2"/>
  <c r="L103" i="2"/>
  <c r="I103" i="2"/>
  <c r="AD102" i="2"/>
  <c r="AA102" i="2"/>
  <c r="X102" i="2"/>
  <c r="U102" i="2"/>
  <c r="R102" i="2"/>
  <c r="O102" i="2"/>
  <c r="L102" i="2"/>
  <c r="I102" i="2"/>
  <c r="AD101" i="2"/>
  <c r="X101" i="2"/>
  <c r="U101" i="2"/>
  <c r="R101" i="2"/>
  <c r="O101" i="2"/>
  <c r="I101" i="2"/>
  <c r="AQ100" i="2"/>
  <c r="AP100" i="2"/>
  <c r="AI100" i="2"/>
  <c r="AD100" i="2"/>
  <c r="O100" i="2"/>
  <c r="AQ99" i="2"/>
  <c r="AP99" i="2"/>
  <c r="AI99" i="2"/>
  <c r="AD99" i="2"/>
  <c r="X99" i="2"/>
  <c r="U99" i="2"/>
  <c r="O99" i="2"/>
  <c r="L99" i="2"/>
  <c r="I99" i="2"/>
  <c r="AQ98" i="2"/>
  <c r="AP98" i="2"/>
  <c r="AI98" i="2"/>
  <c r="AD98" i="2"/>
  <c r="X98" i="2"/>
  <c r="U98" i="2"/>
  <c r="R98" i="2"/>
  <c r="O98" i="2"/>
  <c r="L98" i="2"/>
  <c r="I98" i="2"/>
  <c r="AQ97" i="2"/>
  <c r="AP97" i="2"/>
  <c r="AD97" i="2"/>
  <c r="AA97" i="2"/>
  <c r="X97" i="2"/>
  <c r="U97" i="2"/>
  <c r="R97" i="2"/>
  <c r="O97" i="2"/>
  <c r="L97" i="2"/>
  <c r="I97" i="2"/>
  <c r="AQ96" i="2"/>
  <c r="AP96" i="2"/>
  <c r="AD96" i="2"/>
  <c r="AA96" i="2"/>
  <c r="X96" i="2"/>
  <c r="U96" i="2"/>
  <c r="R96" i="2"/>
  <c r="O96" i="2"/>
  <c r="L96" i="2"/>
  <c r="I96" i="2"/>
  <c r="AQ95" i="2"/>
  <c r="AP95" i="2"/>
  <c r="AD95" i="2"/>
  <c r="AA95" i="2"/>
  <c r="X95" i="2"/>
  <c r="U95" i="2"/>
  <c r="R95" i="2"/>
  <c r="O95" i="2"/>
  <c r="L95" i="2"/>
  <c r="I95" i="2"/>
  <c r="AQ94" i="2"/>
  <c r="AP94" i="2"/>
  <c r="AD94" i="2"/>
  <c r="AA94" i="2"/>
  <c r="X94" i="2"/>
  <c r="U94" i="2"/>
  <c r="R94" i="2"/>
  <c r="O94" i="2"/>
  <c r="L94" i="2"/>
  <c r="I94" i="2"/>
  <c r="AQ93" i="2"/>
  <c r="AP93" i="2"/>
  <c r="AI93" i="2"/>
  <c r="AD93" i="2"/>
  <c r="X93" i="2"/>
  <c r="U93" i="2"/>
  <c r="R93" i="2"/>
  <c r="O93" i="2"/>
  <c r="I93" i="2"/>
  <c r="AQ92" i="2"/>
  <c r="AP92" i="2"/>
  <c r="AI92" i="2"/>
  <c r="AD92" i="2"/>
  <c r="X92" i="2"/>
  <c r="U92" i="2"/>
  <c r="R92" i="2"/>
  <c r="O92" i="2"/>
  <c r="L92" i="2"/>
  <c r="I92" i="2"/>
  <c r="AP91" i="2"/>
  <c r="AQ91" i="2" s="1"/>
  <c r="AI91" i="2"/>
  <c r="AD91" i="2"/>
  <c r="AA91" i="2"/>
  <c r="X91" i="2"/>
  <c r="U91" i="2"/>
  <c r="R91" i="2"/>
  <c r="O91" i="2"/>
  <c r="L91" i="2"/>
  <c r="I91" i="2"/>
  <c r="AQ90" i="2"/>
  <c r="AP90" i="2"/>
  <c r="AD90" i="2"/>
  <c r="AA90" i="2"/>
  <c r="X90" i="2"/>
  <c r="U90" i="2"/>
  <c r="R90" i="2"/>
  <c r="O90" i="2"/>
  <c r="L90" i="2"/>
  <c r="I90" i="2"/>
  <c r="AQ89" i="2"/>
  <c r="AP89" i="2"/>
  <c r="AI89" i="2"/>
  <c r="AD89" i="2"/>
  <c r="AA89" i="2"/>
  <c r="X89" i="2"/>
  <c r="U89" i="2"/>
  <c r="R89" i="2"/>
  <c r="O89" i="2"/>
  <c r="L89" i="2"/>
  <c r="I89" i="2"/>
  <c r="AP88" i="2"/>
  <c r="AQ88" i="2" s="1"/>
  <c r="AI88" i="2"/>
  <c r="AD88" i="2"/>
  <c r="AA88" i="2"/>
  <c r="X88" i="2"/>
  <c r="U88" i="2"/>
  <c r="R88" i="2"/>
  <c r="O88" i="2"/>
  <c r="I88" i="2"/>
  <c r="AQ87" i="2"/>
  <c r="AP87" i="2"/>
  <c r="AI87" i="2"/>
  <c r="AD87" i="2"/>
  <c r="AA87" i="2"/>
  <c r="X87" i="2"/>
  <c r="U87" i="2"/>
  <c r="R87" i="2"/>
  <c r="O87" i="2"/>
  <c r="I87" i="2"/>
  <c r="AP86" i="2"/>
  <c r="AQ86" i="2" s="1"/>
  <c r="AI86" i="2"/>
  <c r="AD86" i="2"/>
  <c r="AA86" i="2"/>
  <c r="X86" i="2"/>
  <c r="U86" i="2"/>
  <c r="R86" i="2"/>
  <c r="O86" i="2"/>
  <c r="I86" i="2"/>
  <c r="AP85" i="2"/>
  <c r="AQ85" i="2" s="1"/>
  <c r="AI85" i="2"/>
  <c r="AD85" i="2"/>
  <c r="AA85" i="2"/>
  <c r="X85" i="2"/>
  <c r="U85" i="2"/>
  <c r="R85" i="2"/>
  <c r="O85" i="2"/>
  <c r="I85" i="2"/>
  <c r="AP84" i="2"/>
  <c r="AQ84" i="2" s="1"/>
  <c r="AI84" i="2"/>
  <c r="AD84" i="2"/>
  <c r="AA84" i="2"/>
  <c r="X84" i="2"/>
  <c r="U84" i="2"/>
  <c r="R84" i="2"/>
  <c r="O84" i="2"/>
  <c r="I84" i="2"/>
  <c r="AP83" i="2"/>
  <c r="AQ83" i="2" s="1"/>
  <c r="AI83" i="2"/>
  <c r="AD83" i="2"/>
  <c r="AA83" i="2"/>
  <c r="X83" i="2"/>
  <c r="U83" i="2"/>
  <c r="R83" i="2"/>
  <c r="O83" i="2"/>
  <c r="L83" i="2"/>
  <c r="I83" i="2"/>
  <c r="AQ82" i="2"/>
  <c r="AP82" i="2"/>
  <c r="AI82" i="2"/>
  <c r="AD82" i="2"/>
  <c r="AA82" i="2"/>
  <c r="X82" i="2"/>
  <c r="U82" i="2"/>
  <c r="R82" i="2"/>
  <c r="O82" i="2"/>
  <c r="L82" i="2"/>
  <c r="I82" i="2"/>
  <c r="AP81" i="2"/>
  <c r="AQ81" i="2" s="1"/>
  <c r="AI81" i="2"/>
  <c r="AD81" i="2"/>
  <c r="AA81" i="2"/>
  <c r="X81" i="2"/>
  <c r="U81" i="2"/>
  <c r="R81" i="2"/>
  <c r="O81" i="2"/>
  <c r="I81" i="2"/>
  <c r="AP80" i="2"/>
  <c r="AQ80" i="2" s="1"/>
  <c r="AI80" i="2"/>
  <c r="AD80" i="2"/>
  <c r="AA80" i="2"/>
  <c r="X80" i="2"/>
  <c r="U80" i="2"/>
  <c r="R80" i="2"/>
  <c r="O80" i="2"/>
  <c r="L80" i="2"/>
  <c r="I80" i="2"/>
  <c r="AQ79" i="2"/>
  <c r="AP79" i="2"/>
  <c r="AI79" i="2"/>
  <c r="AD79" i="2"/>
  <c r="AA79" i="2"/>
  <c r="X79" i="2"/>
  <c r="U79" i="2"/>
  <c r="R79" i="2"/>
  <c r="O79" i="2"/>
  <c r="I79" i="2"/>
  <c r="AQ78" i="2"/>
  <c r="AP78" i="2"/>
  <c r="AI78" i="2"/>
  <c r="AD78" i="2"/>
  <c r="AA78" i="2"/>
  <c r="X78" i="2"/>
  <c r="U78" i="2"/>
  <c r="R78" i="2"/>
  <c r="O78" i="2"/>
  <c r="L78" i="2"/>
  <c r="I78" i="2"/>
  <c r="AP77" i="2"/>
  <c r="AQ77" i="2" s="1"/>
  <c r="AI77" i="2"/>
  <c r="AD77" i="2"/>
  <c r="AA77" i="2"/>
  <c r="X77" i="2"/>
  <c r="U77" i="2"/>
  <c r="R77" i="2"/>
  <c r="O77" i="2"/>
  <c r="I77" i="2"/>
  <c r="AP76" i="2"/>
  <c r="AQ76" i="2" s="1"/>
  <c r="AI76" i="2"/>
  <c r="AD76" i="2"/>
  <c r="AA76" i="2"/>
  <c r="X76" i="2"/>
  <c r="U76" i="2"/>
  <c r="R76" i="2"/>
  <c r="O76" i="2"/>
  <c r="L76" i="2"/>
  <c r="I76" i="2"/>
  <c r="AQ75" i="2"/>
  <c r="AP75" i="2"/>
  <c r="AI75" i="2"/>
  <c r="AD75" i="2"/>
  <c r="AA75" i="2"/>
  <c r="X75" i="2"/>
  <c r="U75" i="2"/>
  <c r="R75" i="2"/>
  <c r="O75" i="2"/>
  <c r="L75" i="2"/>
  <c r="I75" i="2"/>
  <c r="AP74" i="2"/>
  <c r="AQ74" i="2" s="1"/>
  <c r="AI74" i="2"/>
  <c r="AD74" i="2"/>
  <c r="AA74" i="2"/>
  <c r="X74" i="2"/>
  <c r="U74" i="2"/>
  <c r="R74" i="2"/>
  <c r="O74" i="2"/>
  <c r="L74" i="2"/>
  <c r="I74" i="2"/>
  <c r="AQ73" i="2"/>
  <c r="AP73" i="2"/>
  <c r="AI73" i="2"/>
  <c r="AD73" i="2"/>
  <c r="AA73" i="2"/>
  <c r="X73" i="2"/>
  <c r="U73" i="2"/>
  <c r="R73" i="2"/>
  <c r="O73" i="2"/>
  <c r="L73" i="2"/>
  <c r="I73" i="2"/>
  <c r="AP72" i="2"/>
  <c r="AQ72" i="2" s="1"/>
  <c r="AI72" i="2"/>
  <c r="AD72" i="2"/>
  <c r="AA72" i="2"/>
  <c r="X72" i="2"/>
  <c r="U72" i="2"/>
  <c r="R72" i="2"/>
  <c r="O72" i="2"/>
  <c r="L72" i="2"/>
  <c r="I72" i="2"/>
  <c r="AQ71" i="2"/>
  <c r="AP71" i="2"/>
  <c r="AI71" i="2"/>
  <c r="AD71" i="2"/>
  <c r="AA71" i="2"/>
  <c r="X71" i="2"/>
  <c r="U71" i="2"/>
  <c r="R71" i="2"/>
  <c r="O71" i="2"/>
  <c r="L71" i="2"/>
  <c r="I71" i="2"/>
  <c r="AP70" i="2"/>
  <c r="AQ70" i="2" s="1"/>
  <c r="AI70" i="2"/>
  <c r="AD70" i="2"/>
  <c r="AA70" i="2"/>
  <c r="X70" i="2"/>
  <c r="U70" i="2"/>
  <c r="R70" i="2"/>
  <c r="O70" i="2"/>
  <c r="AQ69" i="2"/>
  <c r="AP69" i="2"/>
  <c r="AI69" i="2"/>
  <c r="AD69" i="2"/>
  <c r="AA69" i="2"/>
  <c r="X69" i="2"/>
  <c r="U69" i="2"/>
  <c r="R69" i="2"/>
  <c r="O69" i="2"/>
  <c r="L69" i="2"/>
  <c r="I69" i="2"/>
  <c r="AP68" i="2"/>
  <c r="AQ68" i="2" s="1"/>
  <c r="AI68" i="2"/>
  <c r="AD68" i="2"/>
  <c r="AA68" i="2"/>
  <c r="X68" i="2"/>
  <c r="U68" i="2"/>
  <c r="R68" i="2"/>
  <c r="O68" i="2"/>
  <c r="L68" i="2"/>
  <c r="I68" i="2"/>
  <c r="AQ67" i="2"/>
  <c r="AP67" i="2"/>
  <c r="AI67" i="2"/>
  <c r="AD67" i="2"/>
  <c r="AA67" i="2"/>
  <c r="X67" i="2"/>
  <c r="U67" i="2"/>
  <c r="R67" i="2"/>
  <c r="O67" i="2"/>
  <c r="L67" i="2"/>
  <c r="I67" i="2"/>
  <c r="AP66" i="2"/>
  <c r="AQ66" i="2" s="1"/>
  <c r="AI66" i="2"/>
  <c r="AD66" i="2"/>
  <c r="AA66" i="2"/>
  <c r="X66" i="2"/>
  <c r="U66" i="2"/>
  <c r="R66" i="2"/>
  <c r="O66" i="2"/>
  <c r="L66" i="2"/>
  <c r="I66" i="2"/>
  <c r="AQ65" i="2"/>
  <c r="AP65" i="2"/>
  <c r="AI65" i="2"/>
  <c r="AD65" i="2"/>
  <c r="AA65" i="2"/>
  <c r="X65" i="2"/>
  <c r="U65" i="2"/>
  <c r="R65" i="2"/>
  <c r="O65" i="2"/>
  <c r="L65" i="2"/>
  <c r="I65" i="2"/>
  <c r="AP64" i="2"/>
  <c r="AQ64" i="2" s="1"/>
  <c r="AI64" i="2"/>
  <c r="AD64" i="2"/>
  <c r="AA64" i="2"/>
  <c r="X64" i="2"/>
  <c r="U64" i="2"/>
  <c r="R64" i="2"/>
  <c r="O64" i="2"/>
  <c r="L64" i="2"/>
  <c r="I64" i="2"/>
  <c r="AQ63" i="2"/>
  <c r="AP63" i="2"/>
  <c r="AI63" i="2"/>
  <c r="AD63" i="2"/>
  <c r="AA63" i="2"/>
  <c r="X63" i="2"/>
  <c r="U63" i="2"/>
  <c r="R63" i="2"/>
  <c r="O63" i="2"/>
  <c r="L63" i="2"/>
  <c r="I63" i="2"/>
  <c r="AP62" i="2"/>
  <c r="AQ62" i="2" s="1"/>
  <c r="AI62" i="2"/>
  <c r="AD62" i="2"/>
  <c r="AA62" i="2"/>
  <c r="X62" i="2"/>
  <c r="U62" i="2"/>
  <c r="R62" i="2"/>
  <c r="O62" i="2"/>
  <c r="L62" i="2"/>
  <c r="I62" i="2"/>
  <c r="AQ61" i="2"/>
  <c r="AP61" i="2"/>
  <c r="AI61" i="2"/>
  <c r="AD61" i="2"/>
  <c r="AA61" i="2"/>
  <c r="X61" i="2"/>
  <c r="U61" i="2"/>
  <c r="R61" i="2"/>
  <c r="O61" i="2"/>
  <c r="I61" i="2"/>
  <c r="AQ60" i="2"/>
  <c r="AP60" i="2"/>
  <c r="AI60" i="2"/>
  <c r="AP59" i="2"/>
  <c r="AQ59" i="2" s="1"/>
  <c r="AI59" i="2"/>
  <c r="AQ58" i="2"/>
  <c r="AP58" i="2"/>
  <c r="AI58" i="2"/>
  <c r="AD58" i="2"/>
  <c r="AA58" i="2"/>
  <c r="X58" i="2"/>
  <c r="U58" i="2"/>
  <c r="R58" i="2"/>
  <c r="O58" i="2"/>
  <c r="I58" i="2"/>
  <c r="AQ57" i="2"/>
  <c r="AP57" i="2"/>
  <c r="AI57" i="2"/>
  <c r="AD57" i="2"/>
  <c r="AA57" i="2"/>
  <c r="X57" i="2"/>
  <c r="U57" i="2"/>
  <c r="R57" i="2"/>
  <c r="O57" i="2"/>
  <c r="I57" i="2"/>
  <c r="AQ56" i="2"/>
  <c r="AP56" i="2"/>
  <c r="AI56" i="2"/>
  <c r="AD56" i="2"/>
  <c r="AA56" i="2"/>
  <c r="X56" i="2"/>
  <c r="U56" i="2"/>
  <c r="R56" i="2"/>
  <c r="O56" i="2"/>
  <c r="I56" i="2"/>
  <c r="AQ55" i="2"/>
  <c r="AP55" i="2"/>
  <c r="AI55" i="2"/>
  <c r="AD55" i="2"/>
  <c r="AA55" i="2"/>
  <c r="X55" i="2"/>
  <c r="U55" i="2"/>
  <c r="R55" i="2"/>
  <c r="O55" i="2"/>
  <c r="I55" i="2"/>
  <c r="AQ54" i="2"/>
  <c r="AP54" i="2"/>
  <c r="AI54" i="2"/>
  <c r="AD54" i="2"/>
  <c r="AA54" i="2"/>
  <c r="X54" i="2"/>
  <c r="U54" i="2"/>
  <c r="R54" i="2"/>
  <c r="O54" i="2"/>
  <c r="L54" i="2"/>
  <c r="I54" i="2"/>
  <c r="AP53" i="2"/>
  <c r="AQ53" i="2" s="1"/>
  <c r="AI53" i="2"/>
  <c r="AD53" i="2"/>
  <c r="AA53" i="2"/>
  <c r="X53" i="2"/>
  <c r="U53" i="2"/>
  <c r="R53" i="2"/>
  <c r="O53" i="2"/>
  <c r="L53" i="2"/>
  <c r="I53" i="2"/>
  <c r="AQ52" i="2"/>
  <c r="AP52" i="2"/>
  <c r="AI52" i="2"/>
  <c r="AD52" i="2"/>
  <c r="AA52" i="2"/>
  <c r="X52" i="2"/>
  <c r="U52" i="2"/>
  <c r="R52" i="2"/>
  <c r="O52" i="2"/>
  <c r="L52" i="2"/>
  <c r="I52" i="2"/>
  <c r="AP51" i="2"/>
  <c r="AQ51" i="2" s="1"/>
  <c r="AI51" i="2"/>
  <c r="AD51" i="2"/>
  <c r="AA51" i="2"/>
  <c r="X51" i="2"/>
  <c r="U51" i="2"/>
  <c r="R51" i="2"/>
  <c r="O51" i="2"/>
  <c r="L51" i="2"/>
  <c r="I51" i="2"/>
  <c r="AQ50" i="2"/>
  <c r="AP50" i="2"/>
  <c r="AI50" i="2"/>
  <c r="AD50" i="2"/>
  <c r="AA50" i="2"/>
  <c r="X50" i="2"/>
  <c r="U50" i="2"/>
  <c r="R50" i="2"/>
  <c r="O50" i="2"/>
  <c r="I50" i="2"/>
  <c r="AQ49" i="2"/>
  <c r="AP49" i="2"/>
  <c r="AI49" i="2"/>
  <c r="AD49" i="2"/>
  <c r="AA49" i="2"/>
  <c r="X49" i="2"/>
  <c r="U49" i="2"/>
  <c r="R49" i="2"/>
  <c r="O49" i="2"/>
  <c r="L49" i="2"/>
  <c r="I49" i="2"/>
  <c r="AP48" i="2"/>
  <c r="AQ48" i="2" s="1"/>
  <c r="AI48" i="2"/>
  <c r="AD48" i="2"/>
  <c r="U48" i="2"/>
  <c r="R48" i="2"/>
  <c r="O48" i="2"/>
  <c r="L48" i="2"/>
  <c r="I48" i="2"/>
  <c r="AQ47" i="2"/>
  <c r="AP47" i="2"/>
  <c r="AI47" i="2"/>
  <c r="AD47" i="2"/>
  <c r="AA47" i="2"/>
  <c r="X47" i="2"/>
  <c r="U47" i="2"/>
  <c r="R47" i="2"/>
  <c r="O47" i="2"/>
  <c r="L47" i="2"/>
  <c r="I47" i="2"/>
  <c r="AP46" i="2"/>
  <c r="AQ46" i="2" s="1"/>
  <c r="AI46" i="2"/>
  <c r="AD46" i="2"/>
  <c r="AA46" i="2"/>
  <c r="X46" i="2"/>
  <c r="U46" i="2"/>
  <c r="R46" i="2"/>
  <c r="O46" i="2"/>
  <c r="L46" i="2"/>
  <c r="I46" i="2"/>
  <c r="AQ45" i="2"/>
  <c r="AP45" i="2"/>
  <c r="AI45" i="2"/>
  <c r="AD45" i="2"/>
  <c r="AA45" i="2"/>
  <c r="X45" i="2"/>
  <c r="U45" i="2"/>
  <c r="R45" i="2"/>
  <c r="O45" i="2"/>
  <c r="L45" i="2"/>
  <c r="I45" i="2"/>
  <c r="AP44" i="2"/>
  <c r="AQ44" i="2" s="1"/>
  <c r="AI44" i="2"/>
  <c r="AD44" i="2"/>
  <c r="AA44" i="2"/>
  <c r="X44" i="2"/>
  <c r="U44" i="2"/>
  <c r="R44" i="2"/>
  <c r="O44" i="2"/>
  <c r="L44" i="2"/>
  <c r="I44" i="2"/>
  <c r="AQ43" i="2"/>
  <c r="AP43" i="2"/>
  <c r="AI43" i="2"/>
  <c r="AD43" i="2"/>
  <c r="AA43" i="2"/>
  <c r="X43" i="2"/>
  <c r="U43" i="2"/>
  <c r="R43" i="2"/>
  <c r="O43" i="2"/>
  <c r="L43" i="2"/>
  <c r="I43" i="2"/>
  <c r="AP42" i="2"/>
  <c r="AQ42" i="2" s="1"/>
  <c r="AI42" i="2"/>
  <c r="AD42" i="2"/>
  <c r="AA42" i="2"/>
  <c r="X42" i="2"/>
  <c r="U42" i="2"/>
  <c r="R42" i="2"/>
  <c r="O42" i="2"/>
  <c r="L42" i="2"/>
  <c r="I42" i="2"/>
  <c r="AQ41" i="2"/>
  <c r="AP41" i="2"/>
  <c r="AI41" i="2"/>
  <c r="AD41" i="2"/>
  <c r="AA41" i="2"/>
  <c r="X41" i="2"/>
  <c r="U41" i="2"/>
  <c r="R41" i="2"/>
  <c r="O41" i="2"/>
  <c r="L41" i="2"/>
  <c r="I41" i="2"/>
  <c r="AP40" i="2"/>
  <c r="AQ40" i="2" s="1"/>
  <c r="AI40" i="2"/>
  <c r="AD40" i="2"/>
  <c r="AA40" i="2"/>
  <c r="X40" i="2"/>
  <c r="U40" i="2"/>
  <c r="R40" i="2"/>
  <c r="O40" i="2"/>
  <c r="L40" i="2"/>
  <c r="I40" i="2"/>
  <c r="AQ39" i="2"/>
  <c r="AP39" i="2"/>
  <c r="AI39" i="2"/>
  <c r="AD39" i="2"/>
  <c r="AA39" i="2"/>
  <c r="X39" i="2"/>
  <c r="U39" i="2"/>
  <c r="R39" i="2"/>
  <c r="O39" i="2"/>
  <c r="L39" i="2"/>
  <c r="I39" i="2"/>
  <c r="AP38" i="2"/>
  <c r="AQ38" i="2" s="1"/>
  <c r="AI38" i="2"/>
  <c r="AD38" i="2"/>
  <c r="AA38" i="2"/>
  <c r="X38" i="2"/>
  <c r="U38" i="2"/>
  <c r="R38" i="2"/>
  <c r="O38" i="2"/>
  <c r="L38" i="2"/>
  <c r="I38" i="2"/>
  <c r="AQ37" i="2"/>
  <c r="AP37" i="2"/>
  <c r="AI37" i="2"/>
  <c r="AD37" i="2"/>
  <c r="AA37" i="2"/>
  <c r="X37" i="2"/>
  <c r="U37" i="2"/>
  <c r="O37" i="2"/>
  <c r="L37" i="2"/>
  <c r="I37" i="2"/>
  <c r="AQ36" i="2"/>
  <c r="AP36" i="2"/>
  <c r="AI36" i="2"/>
  <c r="AD36" i="2"/>
  <c r="AA36" i="2"/>
  <c r="X36" i="2"/>
  <c r="U36" i="2"/>
  <c r="O36" i="2"/>
  <c r="L36" i="2"/>
  <c r="I36" i="2"/>
  <c r="AQ35" i="2"/>
  <c r="AP35" i="2"/>
  <c r="AI35" i="2"/>
  <c r="AD35" i="2"/>
  <c r="AA35" i="2"/>
  <c r="X35" i="2"/>
  <c r="U35" i="2"/>
  <c r="R35" i="2"/>
  <c r="O35" i="2"/>
  <c r="L35" i="2"/>
  <c r="I35" i="2"/>
  <c r="AP34" i="2"/>
  <c r="AQ34" i="2" s="1"/>
  <c r="AI34" i="2"/>
  <c r="AD34" i="2"/>
  <c r="AA34" i="2"/>
  <c r="X34" i="2"/>
  <c r="U34" i="2"/>
  <c r="R34" i="2"/>
  <c r="O34" i="2"/>
  <c r="L34" i="2"/>
  <c r="I34" i="2"/>
  <c r="AQ33" i="2"/>
  <c r="AP33" i="2"/>
  <c r="AI33" i="2"/>
  <c r="AD33" i="2"/>
  <c r="AA33" i="2"/>
  <c r="X33" i="2"/>
  <c r="U33" i="2"/>
  <c r="R33" i="2"/>
  <c r="O33" i="2"/>
  <c r="L33" i="2"/>
  <c r="I33" i="2"/>
  <c r="AP32" i="2"/>
  <c r="AQ32" i="2" s="1"/>
  <c r="AI32" i="2"/>
  <c r="AD32" i="2"/>
  <c r="AA32" i="2"/>
  <c r="X32" i="2"/>
  <c r="U32" i="2"/>
  <c r="R32" i="2"/>
  <c r="O32" i="2"/>
  <c r="L32" i="2"/>
  <c r="I32" i="2"/>
  <c r="AQ31" i="2"/>
  <c r="AP31" i="2"/>
  <c r="AI31" i="2"/>
  <c r="AD31" i="2"/>
  <c r="AA31" i="2"/>
  <c r="X31" i="2"/>
  <c r="U31" i="2"/>
  <c r="R31" i="2"/>
  <c r="O31" i="2"/>
  <c r="L31" i="2"/>
  <c r="I31" i="2"/>
  <c r="AP30" i="2"/>
  <c r="AQ30" i="2" s="1"/>
  <c r="AI30" i="2"/>
  <c r="AD30" i="2"/>
  <c r="AA30" i="2"/>
  <c r="X30" i="2"/>
  <c r="U30" i="2"/>
  <c r="R30" i="2"/>
  <c r="O30" i="2"/>
  <c r="L30" i="2"/>
  <c r="I30" i="2"/>
  <c r="AQ29" i="2"/>
  <c r="AP29" i="2"/>
  <c r="AI29" i="2"/>
  <c r="AD29" i="2"/>
  <c r="AA29" i="2"/>
  <c r="X29" i="2"/>
  <c r="U29" i="2"/>
  <c r="R29" i="2"/>
  <c r="O29" i="2"/>
  <c r="L29" i="2"/>
  <c r="I29" i="2"/>
  <c r="AP28" i="2"/>
  <c r="AQ28" i="2" s="1"/>
  <c r="AI28" i="2"/>
  <c r="AD28" i="2"/>
  <c r="AA28" i="2"/>
  <c r="X28" i="2"/>
  <c r="U28" i="2"/>
  <c r="R28" i="2"/>
  <c r="O28" i="2"/>
  <c r="L28" i="2"/>
  <c r="I28" i="2"/>
  <c r="AQ27" i="2"/>
  <c r="AP27" i="2"/>
  <c r="AI27" i="2"/>
  <c r="AP26" i="2"/>
  <c r="AQ26" i="2" s="1"/>
  <c r="AI26" i="2"/>
  <c r="AD26" i="2"/>
  <c r="AA26" i="2"/>
  <c r="X26" i="2"/>
  <c r="U26" i="2"/>
  <c r="R26" i="2"/>
  <c r="O26" i="2"/>
  <c r="L26" i="2"/>
  <c r="I26" i="2"/>
  <c r="AQ25" i="2"/>
  <c r="AP25" i="2"/>
  <c r="AI25" i="2"/>
  <c r="AD25" i="2"/>
  <c r="AA25" i="2"/>
  <c r="X25" i="2"/>
  <c r="U25" i="2"/>
  <c r="R25" i="2"/>
  <c r="O25" i="2"/>
  <c r="L25" i="2"/>
  <c r="I25" i="2"/>
  <c r="AP24" i="2"/>
  <c r="AQ24" i="2" s="1"/>
  <c r="AI24" i="2"/>
  <c r="AD24" i="2"/>
  <c r="AA24" i="2"/>
  <c r="X24" i="2"/>
  <c r="U24" i="2"/>
  <c r="R24" i="2"/>
  <c r="O24" i="2"/>
  <c r="L24" i="2"/>
  <c r="I24" i="2"/>
  <c r="AQ23" i="2"/>
  <c r="AP23" i="2"/>
  <c r="AI23" i="2"/>
  <c r="AD23" i="2"/>
  <c r="AA23" i="2"/>
  <c r="X23" i="2"/>
  <c r="U23" i="2"/>
  <c r="R23" i="2"/>
  <c r="O23" i="2"/>
  <c r="L23" i="2"/>
  <c r="I23" i="2"/>
  <c r="AP22" i="2"/>
  <c r="AQ22" i="2" s="1"/>
  <c r="AI22" i="2"/>
  <c r="AD22" i="2"/>
  <c r="AA22" i="2"/>
  <c r="X22" i="2"/>
  <c r="U22" i="2"/>
  <c r="R22" i="2"/>
  <c r="O22" i="2"/>
  <c r="L22" i="2"/>
  <c r="I22" i="2"/>
  <c r="AQ21" i="2"/>
  <c r="AP21" i="2"/>
  <c r="AI21" i="2"/>
  <c r="AD21" i="2"/>
  <c r="AA21" i="2"/>
  <c r="X21" i="2"/>
  <c r="U21" i="2"/>
  <c r="R21" i="2"/>
  <c r="O21" i="2"/>
  <c r="L21" i="2"/>
  <c r="I21" i="2"/>
  <c r="AP20" i="2"/>
  <c r="AQ20" i="2" s="1"/>
  <c r="AI20" i="2"/>
  <c r="AD20" i="2"/>
  <c r="AA20" i="2"/>
  <c r="X20" i="2"/>
  <c r="U20" i="2"/>
  <c r="R20" i="2"/>
  <c r="O20" i="2"/>
  <c r="L20" i="2"/>
  <c r="I20" i="2"/>
  <c r="AQ19" i="2"/>
  <c r="AP19" i="2"/>
  <c r="AI19" i="2"/>
  <c r="AP18" i="2"/>
  <c r="AQ18" i="2" s="1"/>
  <c r="AI18" i="2"/>
  <c r="AD18" i="2"/>
  <c r="AA18" i="2"/>
  <c r="X18" i="2"/>
  <c r="U18" i="2"/>
  <c r="R18" i="2"/>
  <c r="O18" i="2"/>
  <c r="L18" i="2"/>
  <c r="I18" i="2"/>
  <c r="AQ17" i="2"/>
  <c r="AP17" i="2"/>
  <c r="AI17" i="2"/>
  <c r="AD17" i="2"/>
  <c r="AA17" i="2"/>
  <c r="X17" i="2"/>
  <c r="U17" i="2"/>
  <c r="R17" i="2"/>
  <c r="O17" i="2"/>
  <c r="L17" i="2"/>
  <c r="I17" i="2"/>
  <c r="AP16" i="2"/>
  <c r="AQ16" i="2" s="1"/>
  <c r="AI16" i="2"/>
  <c r="AD16" i="2"/>
  <c r="AA16" i="2"/>
  <c r="X16" i="2"/>
  <c r="U16" i="2"/>
  <c r="R16" i="2"/>
  <c r="O16" i="2"/>
  <c r="L16" i="2"/>
  <c r="I16" i="2"/>
  <c r="AQ15" i="2"/>
  <c r="AP15" i="2"/>
  <c r="AI15" i="2"/>
  <c r="AD15" i="2"/>
  <c r="AA15" i="2"/>
  <c r="X15" i="2"/>
  <c r="U15" i="2"/>
  <c r="R15" i="2"/>
  <c r="O15" i="2"/>
  <c r="L15" i="2"/>
  <c r="I15" i="2"/>
  <c r="AP14" i="2"/>
  <c r="AQ14" i="2" s="1"/>
  <c r="AI14" i="2"/>
  <c r="AD14" i="2"/>
  <c r="AB121" i="2" s="1"/>
  <c r="AA14" i="2"/>
  <c r="X14" i="2"/>
  <c r="U14" i="2"/>
  <c r="R14" i="2"/>
  <c r="P121" i="2" s="1"/>
  <c r="O14" i="2"/>
  <c r="L14" i="2"/>
  <c r="I14" i="2"/>
  <c r="AQ13" i="2"/>
  <c r="AP13" i="2"/>
  <c r="AI13" i="2"/>
  <c r="AD13" i="2"/>
  <c r="AA13" i="2"/>
  <c r="Y121" i="2" s="1"/>
  <c r="X13" i="2"/>
  <c r="V121" i="2" s="1"/>
  <c r="U13" i="2"/>
  <c r="S121" i="2" s="1"/>
  <c r="R13" i="2"/>
  <c r="O13" i="2"/>
  <c r="M121" i="2" s="1"/>
  <c r="L13" i="2"/>
  <c r="J121" i="2" s="1"/>
  <c r="I13" i="2"/>
  <c r="G121" i="2" s="1"/>
  <c r="B5" i="2"/>
  <c r="N44" i="1"/>
  <c r="Q30" i="1"/>
  <c r="G28" i="1"/>
  <c r="O25" i="1"/>
  <c r="U18" i="1"/>
  <c r="T18" i="1"/>
  <c r="R18" i="1"/>
  <c r="U17" i="1"/>
  <c r="T17" i="1"/>
  <c r="R17" i="1"/>
  <c r="U16" i="1"/>
  <c r="T16" i="1"/>
  <c r="R16" i="1"/>
  <c r="U15" i="1"/>
  <c r="T15" i="1"/>
  <c r="R15" i="1"/>
  <c r="T14" i="1"/>
  <c r="R14" i="1"/>
  <c r="L14" i="1"/>
  <c r="J14" i="1"/>
  <c r="H14" i="1"/>
  <c r="U14" i="1" s="1"/>
  <c r="T13" i="1"/>
  <c r="R13" i="1"/>
  <c r="Q19" i="1" s="1"/>
  <c r="Q22" i="1" s="1"/>
  <c r="L13" i="1"/>
  <c r="J13" i="1"/>
  <c r="H13" i="1"/>
  <c r="G19" i="1" s="1"/>
  <c r="B22" i="1" s="1"/>
  <c r="B25" i="1" s="1"/>
  <c r="T12" i="1"/>
  <c r="R12" i="1"/>
  <c r="L12" i="1"/>
  <c r="K19" i="1" s="1"/>
  <c r="J12" i="1"/>
  <c r="I19" i="1" s="1"/>
  <c r="H12" i="1"/>
  <c r="U12" i="1" s="1"/>
  <c r="B126" i="2" l="1"/>
  <c r="B125" i="2"/>
  <c r="B123" i="2"/>
  <c r="T19" i="1"/>
  <c r="Q26" i="1"/>
  <c r="U13" i="1"/>
  <c r="B127" i="2" l="1"/>
</calcChain>
</file>

<file path=xl/sharedStrings.xml><?xml version="1.0" encoding="utf-8"?>
<sst xmlns="http://schemas.openxmlformats.org/spreadsheetml/2006/main" count="869" uniqueCount="377">
  <si>
    <t xml:space="preserve">   Quadro de Concorrência v.03</t>
  </si>
  <si>
    <t>MADEIRA PARA PROTEÇÃO CANTEIRO - TORRE</t>
  </si>
  <si>
    <t>Data</t>
  </si>
  <si>
    <t>81.2</t>
  </si>
  <si>
    <t>DADOS</t>
  </si>
  <si>
    <t>ORÇAMENTO</t>
  </si>
  <si>
    <t>VALOR META</t>
  </si>
  <si>
    <t>Nº Quadro</t>
  </si>
  <si>
    <t>SPE</t>
  </si>
  <si>
    <t>VILA TATUAPÉ</t>
  </si>
  <si>
    <t>Nome</t>
  </si>
  <si>
    <t>CDA</t>
  </si>
  <si>
    <t>SOLUÇÃO</t>
  </si>
  <si>
    <t>ATLANTA</t>
  </si>
  <si>
    <t>CÓDIGO REDUZIDO</t>
  </si>
  <si>
    <t>CENTRO DE CUSTO</t>
  </si>
  <si>
    <t>INSUMO</t>
  </si>
  <si>
    <t>QUANT.</t>
  </si>
  <si>
    <t>C.UNITÁRIO</t>
  </si>
  <si>
    <t>TOTAL</t>
  </si>
  <si>
    <t>MELHOR VALOR UNITÁRIO</t>
  </si>
  <si>
    <t>MELHOR VALOR TOTAL</t>
  </si>
  <si>
    <t>Dados da Empresa Escolhida</t>
  </si>
  <si>
    <t>Endereço</t>
  </si>
  <si>
    <t>RUA ANDRÉ VIDAL 14</t>
  </si>
  <si>
    <t>Contato</t>
  </si>
  <si>
    <t>WILTON</t>
  </si>
  <si>
    <t>FELIPE</t>
  </si>
  <si>
    <t>CAROL</t>
  </si>
  <si>
    <t>CNPJ</t>
  </si>
  <si>
    <t>Telefax</t>
  </si>
  <si>
    <t>5624-2023</t>
  </si>
  <si>
    <t>3799-0800</t>
  </si>
  <si>
    <t>3648-3388</t>
  </si>
  <si>
    <t>I.E.</t>
  </si>
  <si>
    <t>Celular</t>
  </si>
  <si>
    <t>Sócio</t>
  </si>
  <si>
    <t>Local/Cidade</t>
  </si>
  <si>
    <t>SP</t>
  </si>
  <si>
    <t>E-mail</t>
  </si>
  <si>
    <t>wilton@grupocda.com.br</t>
  </si>
  <si>
    <t>felipe.volpi@solucaomadeiras.com.br</t>
  </si>
  <si>
    <t>carol@atlantanet.com.br</t>
  </si>
  <si>
    <t>Item</t>
  </si>
  <si>
    <t>Descrição</t>
  </si>
  <si>
    <t>Quant.</t>
  </si>
  <si>
    <t>und</t>
  </si>
  <si>
    <t>Custo
Unitário</t>
  </si>
  <si>
    <t>Total</t>
  </si>
  <si>
    <t>TRON</t>
  </si>
  <si>
    <t>REFERENCIA</t>
  </si>
  <si>
    <t>Sarrafo Pinus 2,5x10cm</t>
  </si>
  <si>
    <t>m</t>
  </si>
  <si>
    <t>13</t>
  </si>
  <si>
    <t>13.2.20</t>
  </si>
  <si>
    <t>21.02.00.06</t>
  </si>
  <si>
    <t>Pontalete 3x3 Pinus</t>
  </si>
  <si>
    <t>13.2.21</t>
  </si>
  <si>
    <t>13.2.22</t>
  </si>
  <si>
    <t>13.2.29</t>
  </si>
  <si>
    <t>13.2.1</t>
  </si>
  <si>
    <t>21.01.00.05</t>
  </si>
  <si>
    <t>13.2.2</t>
  </si>
  <si>
    <t>Faturamento vencedor</t>
  </si>
  <si>
    <t xml:space="preserve">SUBTOTAL </t>
  </si>
  <si>
    <t>TOTAL ORÇAMENTO</t>
  </si>
  <si>
    <t>R$</t>
  </si>
  <si>
    <t>%</t>
  </si>
  <si>
    <t>Nome do vencedor</t>
  </si>
  <si>
    <t>DESCONTO (%)</t>
  </si>
  <si>
    <t>FAT. DIRETO</t>
  </si>
  <si>
    <t>IMPOSTOS (IPI etc)</t>
  </si>
  <si>
    <t>incluso</t>
  </si>
  <si>
    <t>MATERIAIS</t>
  </si>
  <si>
    <t>INDEXADOR</t>
  </si>
  <si>
    <t>INCC (N-1)</t>
  </si>
  <si>
    <t>VB
ATUALIZADA</t>
  </si>
  <si>
    <t>MÃO DE OBRA</t>
  </si>
  <si>
    <t>NEGOCIAÇÃO FINAL</t>
  </si>
  <si>
    <t>BASE</t>
  </si>
  <si>
    <t>LOCAÇÃO</t>
  </si>
  <si>
    <t>LOCAL ENTREGA</t>
  </si>
  <si>
    <t>ATUAL</t>
  </si>
  <si>
    <t>PRAZO ENTREGA</t>
  </si>
  <si>
    <t>ATUALIZAÇÃO</t>
  </si>
  <si>
    <t>COND. PAGAMENTO</t>
  </si>
  <si>
    <t>ECONOMIA</t>
  </si>
  <si>
    <t>VALOR FRETE</t>
  </si>
  <si>
    <t>TOTAL COM FRETE(S)</t>
  </si>
  <si>
    <t>VERBA META - ORÇAMENTO ATUALIZADO</t>
  </si>
  <si>
    <t>COND. REAJUSTE</t>
  </si>
  <si>
    <t>ORÇAMENTO ATUALIZADO - BASE</t>
  </si>
  <si>
    <t>VALIDADE PROPOSTA</t>
  </si>
  <si>
    <t>INCC BASE</t>
  </si>
  <si>
    <t>VB ATUALIZADA</t>
  </si>
  <si>
    <t>OPTANTE PELO SIMPLES</t>
  </si>
  <si>
    <t>INCC ATUAL</t>
  </si>
  <si>
    <t xml:space="preserve">OBS: </t>
  </si>
  <si>
    <t>Economia</t>
  </si>
  <si>
    <t>Y24- empresa com menor valor</t>
  </si>
  <si>
    <t>QC 195rev1  - ESQUADRIAS ALUMÍNIO</t>
  </si>
  <si>
    <t xml:space="preserve">ORÇAMENTO ATUALIZADO </t>
  </si>
  <si>
    <t>MELHORES VALORES</t>
  </si>
  <si>
    <t>DADOS DA OBRA</t>
  </si>
  <si>
    <t>Fornecedor 01</t>
  </si>
  <si>
    <t>Fornecedor 02</t>
  </si>
  <si>
    <t>Fornecedor 03</t>
  </si>
  <si>
    <t>Fornecedor 04</t>
  </si>
  <si>
    <t>Fornecedor 05</t>
  </si>
  <si>
    <t>Fornecedor 06</t>
  </si>
  <si>
    <t>Fornecedor 07</t>
  </si>
  <si>
    <t>Fornecedor 08</t>
  </si>
  <si>
    <t xml:space="preserve">ORÇAMENTO CONTRATUAL </t>
  </si>
  <si>
    <t>195rev1</t>
  </si>
  <si>
    <t>PENINSULA LAKE 2 SPE LTDA</t>
  </si>
  <si>
    <t>ALUBRAS</t>
  </si>
  <si>
    <t>NATA ALUMÍNIO</t>
  </si>
  <si>
    <t>LJ ALUMÍNIO</t>
  </si>
  <si>
    <t>ON2</t>
  </si>
  <si>
    <t>GRUPO PARIS</t>
  </si>
  <si>
    <t>ALMAIS</t>
  </si>
  <si>
    <t>BRASIL TEMPER</t>
  </si>
  <si>
    <t>CONFIANÇA</t>
  </si>
  <si>
    <t>CENTRO DE CUSTO AZO</t>
  </si>
  <si>
    <t>INSUMO AZO</t>
  </si>
  <si>
    <t>SALDO DISPONÍVEL</t>
  </si>
  <si>
    <t>VALOR COMPROMETIDO</t>
  </si>
  <si>
    <t>SALDO ATUALIZADO</t>
  </si>
  <si>
    <t>DESCRIÇÃO BREVE</t>
  </si>
  <si>
    <t>Rua dos Jacarandás, 1021 Condomínio Península  - Barra da Tijuca - RJ</t>
  </si>
  <si>
    <t>NAYLE SENA</t>
  </si>
  <si>
    <t>PEDRO</t>
  </si>
  <si>
    <t>PHILIPE</t>
  </si>
  <si>
    <t>ELIEZER</t>
  </si>
  <si>
    <t>KLEBER</t>
  </si>
  <si>
    <t>ADAUTO</t>
  </si>
  <si>
    <t>DIOGO</t>
  </si>
  <si>
    <t>EDSON</t>
  </si>
  <si>
    <t>Bairro</t>
  </si>
  <si>
    <t>Barra da Tijuca</t>
  </si>
  <si>
    <t>Estado</t>
  </si>
  <si>
    <t>Rio de Janeiro</t>
  </si>
  <si>
    <t>2198087-2226</t>
  </si>
  <si>
    <t>2196436-1876</t>
  </si>
  <si>
    <t>2199356-0828</t>
  </si>
  <si>
    <t xml:space="preserve"> 21 98172-1300</t>
  </si>
  <si>
    <t>21 97019-0172</t>
  </si>
  <si>
    <t>(32) 9 9926-9925</t>
  </si>
  <si>
    <t xml:space="preserve"> 32 8703-3935</t>
  </si>
  <si>
    <t>24 99274-6206</t>
  </si>
  <si>
    <t>RIO DE JANEIRO</t>
  </si>
  <si>
    <t>MINAS GERAIS</t>
  </si>
  <si>
    <t>nayle.andrade@alubras.com</t>
  </si>
  <si>
    <t>nataacm@hotmail.com</t>
  </si>
  <si>
    <t>robson@ljaluminio.com.br</t>
  </si>
  <si>
    <t>eliezerneves@gmail.com</t>
  </si>
  <si>
    <t>adauto@almais.com.br</t>
  </si>
  <si>
    <t>ewerton.melo@confianca.ind.br</t>
  </si>
  <si>
    <t>Quant</t>
  </si>
  <si>
    <t>REF. COMP.</t>
  </si>
  <si>
    <t>REF. INSUMO</t>
  </si>
  <si>
    <t>DESC. INSUMO</t>
  </si>
  <si>
    <t>PU</t>
  </si>
  <si>
    <t>AL001</t>
  </si>
  <si>
    <t>Vidro Simples; Previsão para Tela Mosqueteiro Aluminek Plissê; Alumínio Com Pintura Eletrostática RAL 9005F</t>
  </si>
  <si>
    <t>unid</t>
  </si>
  <si>
    <t>28.02.01</t>
  </si>
  <si>
    <t>Janelas - material</t>
  </si>
  <si>
    <t>AL002</t>
  </si>
  <si>
    <t>28.01.01</t>
  </si>
  <si>
    <t>Portas - material</t>
  </si>
  <si>
    <t>AL003</t>
  </si>
  <si>
    <t>Vidro Laminado com PVB Padrão 65%; Alumínio Com Pintura Eletrostática RAL 9005F</t>
  </si>
  <si>
    <t>28.03.01</t>
  </si>
  <si>
    <t>Guarda Corpo - material</t>
  </si>
  <si>
    <t>AL004</t>
  </si>
  <si>
    <t>29.04.01</t>
  </si>
  <si>
    <t xml:space="preserve">Vidro Laminado </t>
  </si>
  <si>
    <t>AL005</t>
  </si>
  <si>
    <t>29.06.01</t>
  </si>
  <si>
    <t>Vidros especiais</t>
  </si>
  <si>
    <t>AL006</t>
  </si>
  <si>
    <t>AL007</t>
  </si>
  <si>
    <t>Alumínio Com Pintura Eletrostática Cor Preta; Veneziana; Vidro Simples</t>
  </si>
  <si>
    <t>—</t>
  </si>
  <si>
    <t>NÃO ORÇADO</t>
  </si>
  <si>
    <t>AL008</t>
  </si>
  <si>
    <t>Vidro Simples; Alumínio Com Pintura Eletrostática RAL 9005F</t>
  </si>
  <si>
    <t>AL009</t>
  </si>
  <si>
    <t>AL010</t>
  </si>
  <si>
    <t>AL011</t>
  </si>
  <si>
    <t>AL012</t>
  </si>
  <si>
    <t>AL013</t>
  </si>
  <si>
    <t>AL014</t>
  </si>
  <si>
    <t>AL015</t>
  </si>
  <si>
    <t>Alumínio Com Pintura Eletrostática Cor Preta; Vidro Simples</t>
  </si>
  <si>
    <t>AL016</t>
  </si>
  <si>
    <t>AL017</t>
  </si>
  <si>
    <t>AL018</t>
  </si>
  <si>
    <t>AL019</t>
  </si>
  <si>
    <t>AL020</t>
  </si>
  <si>
    <t>AL021</t>
  </si>
  <si>
    <t>AL022</t>
  </si>
  <si>
    <t>AL023a</t>
  </si>
  <si>
    <t>AL023b</t>
  </si>
  <si>
    <t>AL023c</t>
  </si>
  <si>
    <t>AL024</t>
  </si>
  <si>
    <t>AL025</t>
  </si>
  <si>
    <t>Veneziana; Vidro Simples; Alumínio Com Pintura Eletrostática RAL 9005F</t>
  </si>
  <si>
    <t>AL026</t>
  </si>
  <si>
    <t>AL027</t>
  </si>
  <si>
    <t>AL028</t>
  </si>
  <si>
    <t>AL029</t>
  </si>
  <si>
    <t>Veneziana; Alumínio Com Pintura Eletrostática RAL 9005F</t>
  </si>
  <si>
    <t>AL030</t>
  </si>
  <si>
    <t>AL031</t>
  </si>
  <si>
    <t>AL032</t>
  </si>
  <si>
    <t>Alumínio Com Pintura Eletrostática RAL 7012</t>
  </si>
  <si>
    <t>AL033</t>
  </si>
  <si>
    <t>Veneziana; Alumínio Com Pintura Eletrostática RAL 7012</t>
  </si>
  <si>
    <t>AL034</t>
  </si>
  <si>
    <t>AL035</t>
  </si>
  <si>
    <t>AL036</t>
  </si>
  <si>
    <t>AL037</t>
  </si>
  <si>
    <t>AL038</t>
  </si>
  <si>
    <t>AL039</t>
  </si>
  <si>
    <t>AL040</t>
  </si>
  <si>
    <t>AL101a</t>
  </si>
  <si>
    <t>Térreo: 1</t>
  </si>
  <si>
    <t>AL101b</t>
  </si>
  <si>
    <t>AL102a</t>
  </si>
  <si>
    <t>AL102b</t>
  </si>
  <si>
    <t>AL103a</t>
  </si>
  <si>
    <t>AL103b</t>
  </si>
  <si>
    <t>AL104</t>
  </si>
  <si>
    <t>1º Subsolo: 1</t>
  </si>
  <si>
    <t>AL105</t>
  </si>
  <si>
    <t>2º Subsolo: 1</t>
  </si>
  <si>
    <t>AL106a</t>
  </si>
  <si>
    <t>AL106b</t>
  </si>
  <si>
    <t>AL107</t>
  </si>
  <si>
    <t>AL108</t>
  </si>
  <si>
    <t>AL109</t>
  </si>
  <si>
    <t>AL110</t>
  </si>
  <si>
    <t>AL111</t>
  </si>
  <si>
    <t>2º Subsolo: 2</t>
  </si>
  <si>
    <t>AL111a</t>
  </si>
  <si>
    <t>AL112</t>
  </si>
  <si>
    <t>AL113</t>
  </si>
  <si>
    <t>AL116</t>
  </si>
  <si>
    <t>AL117</t>
  </si>
  <si>
    <t>Térreo: 2</t>
  </si>
  <si>
    <t>AL118</t>
  </si>
  <si>
    <t>AL119</t>
  </si>
  <si>
    <t>AL120</t>
  </si>
  <si>
    <t>AL121</t>
  </si>
  <si>
    <t>AL122</t>
  </si>
  <si>
    <t>AL125</t>
  </si>
  <si>
    <t>2º Subsolo: 41</t>
  </si>
  <si>
    <t>AL126</t>
  </si>
  <si>
    <t>2º Subsolo: 9 · Térreo: 2</t>
  </si>
  <si>
    <t>AL127</t>
  </si>
  <si>
    <t>2º Subsolo: 9</t>
  </si>
  <si>
    <t>AL128</t>
  </si>
  <si>
    <t>AL129</t>
  </si>
  <si>
    <t>AL130a</t>
  </si>
  <si>
    <t>AL130b</t>
  </si>
  <si>
    <t>AL130c</t>
  </si>
  <si>
    <t>AL130d</t>
  </si>
  <si>
    <t>GC01A</t>
  </si>
  <si>
    <t>Guarda-corpos dormitórios 1º Pav/Térreo</t>
  </si>
  <si>
    <t>GC01B</t>
  </si>
  <si>
    <t>GC02A</t>
  </si>
  <si>
    <t>Guarda-corpo dormitórios do meio 2º Pav</t>
  </si>
  <si>
    <t>GC02B esq.</t>
  </si>
  <si>
    <t>Guarda-corpo unidade da esquerda</t>
  </si>
  <si>
    <t>GC02B dir.</t>
  </si>
  <si>
    <t>Guarda-corpo unidade da direita</t>
  </si>
  <si>
    <t>GC101</t>
  </si>
  <si>
    <t>Guarda-corpo acesso veículos</t>
  </si>
  <si>
    <t>ver obra</t>
  </si>
  <si>
    <t>GC102</t>
  </si>
  <si>
    <t>GC103</t>
  </si>
  <si>
    <t>GC104</t>
  </si>
  <si>
    <t>GC105</t>
  </si>
  <si>
    <t>Guarda-corpo alumínio e vidro — lazer térreo</t>
  </si>
  <si>
    <t>GC106</t>
  </si>
  <si>
    <t>Guarda-corpo borda infinita (piscina)</t>
  </si>
  <si>
    <t>Corrimão rampa / piscina gradil + escada</t>
  </si>
  <si>
    <t>GC1106A</t>
  </si>
  <si>
    <t>GC108</t>
  </si>
  <si>
    <t>GC107</t>
  </si>
  <si>
    <t>GC03</t>
  </si>
  <si>
    <t>Ripado de fachada (perfis RAL 7012 / 8025F)</t>
  </si>
  <si>
    <t>Ripado central de fachada</t>
  </si>
  <si>
    <t>GC04</t>
  </si>
  <si>
    <t>Guarda-corpo chegada escada + jardim interno unidade</t>
  </si>
  <si>
    <t>GC05</t>
  </si>
  <si>
    <t>Corrimão</t>
  </si>
  <si>
    <t>Corrimãos escadas de emergência</t>
  </si>
  <si>
    <t>Corrimãos escadas privativas (unidades)</t>
  </si>
  <si>
    <t>Ripado</t>
  </si>
  <si>
    <t>Ripado clausura/acesso social pedestres</t>
  </si>
  <si>
    <t>PT01</t>
  </si>
  <si>
    <t>Portões de acesso — clausura de pedestre e veículos (abrir e elevação)</t>
  </si>
  <si>
    <t>PT02</t>
  </si>
  <si>
    <t>Portão de acesso de veículos — clausura de veículos (elevação)</t>
  </si>
  <si>
    <t>PT03</t>
  </si>
  <si>
    <t>Portões de acesso — unidades privativas (ripado alumínio vertical 4×4cm)</t>
  </si>
  <si>
    <t>PT04</t>
  </si>
  <si>
    <t>Portões de acesso blocos/unidades — unidades privativas (ripado + chapa)</t>
  </si>
  <si>
    <t>PT05</t>
  </si>
  <si>
    <t>Portões de acesso unidade — chapa de alumínio ao fundo do ripado</t>
  </si>
  <si>
    <t>PT06</t>
  </si>
  <si>
    <t>Portão de acesso — montante horizontal sobreposto pelo ripado</t>
  </si>
  <si>
    <t>PT07</t>
  </si>
  <si>
    <t>Portões piscina — montante sobreposto à estrutura do portão</t>
  </si>
  <si>
    <t>TOTAL (LEVANTAMENTO FATOR)</t>
  </si>
  <si>
    <t>PREÇO TOTAL FORNECEDOR</t>
  </si>
  <si>
    <t>LOCAL DE ENTREGA</t>
  </si>
  <si>
    <t>PRAZO DE ENTREGA</t>
  </si>
  <si>
    <t>PROJETO = 30DD
SUPRIMENTOS = 90 DIAS
1º ENTREGA = 6 MESES
DEMAIS ENTREGAS = 30/60/90/120</t>
  </si>
  <si>
    <t xml:space="preserve">CONFORME O CRONOGRAMA DA OBRA </t>
  </si>
  <si>
    <t xml:space="preserve">CONTRAMARCOS = 30DD
ESQUADRIAS = CONFORME CRONOGRAMA DA OBRA </t>
  </si>
  <si>
    <t>CONFORME CRONOGRAMA DA OBRA</t>
  </si>
  <si>
    <t>INCC</t>
  </si>
  <si>
    <t>MATERIAIS = 55%
NOTA FISCAL E INDUSTRIALIZAÇÃO = 20%
NOTA FISCAL E MÃO DE OBRA = 25%</t>
  </si>
  <si>
    <t>FATURAMENTO = 50%
NF VENDA = 80%
MATERIAL = 20%</t>
  </si>
  <si>
    <t>VIDROS =  295.185,00
MATÉRIA PRIMA = 52%
PROJETOS E INDUSTRIALIZAÇÃO = 40%
INSTALAÇÃO = 8%</t>
  </si>
  <si>
    <t>80% MATERIAL FATURAMENTO DIRETO
20% MÃO DE OBRA</t>
  </si>
  <si>
    <t>NFE DANFE = 60%
NFE INDUSTRIALIZAÇÃO = 5%
CONTRAMARCO = 5%
ESQUADRIAS = 17,5%
NFE MÃO DE OBRA = 17,5%</t>
  </si>
  <si>
    <t>FATURAMENTO</t>
  </si>
  <si>
    <t>120 DD APÓS A APROVAÇAO DA PROPOSTA</t>
  </si>
  <si>
    <t xml:space="preserve">ECONOMIA </t>
  </si>
  <si>
    <t>DATA DA PROPOSTA</t>
  </si>
  <si>
    <t>15DD</t>
  </si>
  <si>
    <t>30DD</t>
  </si>
  <si>
    <t>21dd</t>
  </si>
  <si>
    <t>PROJETOS</t>
  </si>
  <si>
    <t>2201-CAX-EX-0001-DOC-R03
2201-CAX-EX-0002-DOC-R03
2201-CAX-EX-0003-DOC-R03
2201-CAX-EX-0004-DOC-R00
2201-CAX-EX-0005-DOC-R00
2201-CAX-EX-0010-DET-R02
2201-CAX-EX-0020-DET-R02
2201-CAX-EX-0030-DET-R01
2201-CAX-EX-0040-DET-R02
2201-CAX-EX-0050-DET-R02
2201-CAX-EX-0060-DET-R02
2201-CAX-EX-0070-DET-R01
2201-CAX-EX-0080-DET-R03
2201-CAX-EX-0090-DET-R02
2201-CAX-EX-0100-DET-R01
2201-CAX-EX-0110-DET-R00
2201-CAX-EX-0120-DET-R01
2201-CAX-EX-0130-DET-R02
2201-CAX-EX-0140-DET-R00
2201-CAX-EX-0150-DET-R00
2201-CAX-EX-0160-DET-R02
2201-CAX-EX-0170-DET-R02
2201-CAX-EX-0180-DET-R02
2201-CAX-EX-0190-DET-R02
2201-CAX-EX-0200-DET-R02
2201-CAX-EX-0201-DET-R01
2201-CAX-EX-0210-DET-R02
2201-CAX-EX-0220-DET-R02
2201-CAX-EX-0260-DET-R01
2201-CAX-EX-0270-DET-R02
2201-CAX-EX-0271-DET-R03
2201-CAX-EX-0280-DET-R03
2201-CAX-EX-0281-DET-R01
2201-CAX-EX-0290-DET-R01
2201-CAX-EX-0310-DET-R01
2201-CAX-EX-0320-DET-R03
2201-CAX-EX-0330-DET-R01
2201-CAX-EX-0340-DET-R03
2201-CAX-EX-0341-DET-R00
2201-CAX-EX-0350-DET-R03
2201-CAX-EX-0351-DET-R00
2201-CAX-EX-0360-DET-R02
2201-CAX-EX-0361-DET-R02
2201-CAX-EX-0362-DET-R01
2201-CAX-EX-0400-DET-R00
2201-CAX-EX-0401-DET-R00
2201-CAX-EX-0402-DET-R00
2201-CAX-EX-0410-DET-R02
2201-CAX-EX-0420-DET-R02
2201-CAX-EX-0421-DET-R01
2201-CAX-EX-0430-DET-R01
2201-CAX-EX-0500-DET-R02
2201-CAX-EX-0501-DET-R01
2201-CAX-EX-0502-DET-R02
2201-CAX-EX-0503-DET-R00
2201-CAX-EX-0510-DET-R01
2201-CAX-EX-0520-DET-R00
2201-CAX-EX-0530-DET-R01</t>
  </si>
  <si>
    <t>OBSERVAÇÃO</t>
  </si>
  <si>
    <t>GARANTIA = 90DD, 1 ANO, 2 ANOS, 3 ANOS, 5 ANOS E 20 ANOS, PARA OS ITENS QUE COMPLTAREM CADA UM, CONFORME O ESCOPO</t>
  </si>
  <si>
    <t>GARANTIA = 1 ANO</t>
  </si>
  <si>
    <t>OBS.1:  CONSIDERAÇÕES GERAIS / RECOMENDAÇÃO DE CONTRATAÇÃO:</t>
  </si>
  <si>
    <t>OBS. 2: JUSTIFICATIVA PARA CONTRATAÇÃO CASO NÃO HAJA 3 FORNECEDORES OU QUE NÃO SEJA COM O MENOR VALOR:</t>
  </si>
  <si>
    <t>OBS. 3: NÚMERO DO MEGA</t>
  </si>
  <si>
    <t>ITENS NOVOS — PROPOSTA ON2 Nº 0120.26.00 (20/08/2026) — AINDA NÃO LANÇADOS NO QUADRO PRINCIPAL</t>
  </si>
  <si>
    <t>Ref</t>
  </si>
  <si>
    <t>Descrição (tipologia / linha)</t>
  </si>
  <si>
    <t>Qtde</t>
  </si>
  <si>
    <t>Preço Unit.</t>
  </si>
  <si>
    <t>Preço Total</t>
  </si>
  <si>
    <t>Observação</t>
  </si>
  <si>
    <t>GC-004</t>
  </si>
  <si>
    <t>G.corpo p/vidro — Universal Slim</t>
  </si>
  <si>
    <t>Sem correspondência clara no mapa atual</t>
  </si>
  <si>
    <t>GC106-1</t>
  </si>
  <si>
    <t>Possível 1 das 2 linhas "GC106" duplicadas (itens 87/88), hoje NÃO ORÇADO</t>
  </si>
  <si>
    <t>GC106-2</t>
  </si>
  <si>
    <t>Possível a outra linha "GC106" (itens 87/88)</t>
  </si>
  <si>
    <t>GC107A</t>
  </si>
  <si>
    <t>Possível desdobramento da linha "GC107" (item 91)</t>
  </si>
  <si>
    <t>GC107B</t>
  </si>
  <si>
    <t>PP</t>
  </si>
  <si>
    <t>Conjunto com ripado — Tubular</t>
  </si>
  <si>
    <t>RCF</t>
  </si>
  <si>
    <t>RF</t>
  </si>
  <si>
    <t>RP-CLAUS-1</t>
  </si>
  <si>
    <t>Ripado — Tubular</t>
  </si>
  <si>
    <t>Possível desdobramento da linha "Ripado" (item 98 — "clausura")</t>
  </si>
  <si>
    <t>RP-CLAUS-2</t>
  </si>
  <si>
    <t>Possível desdobramento da linha "Ripado" (item 98)</t>
  </si>
  <si>
    <t>RP-CLAUS-3</t>
  </si>
  <si>
    <t>RP-CLAUS-4</t>
  </si>
  <si>
    <t>FE07</t>
  </si>
  <si>
    <t>Obs.: o item AL222 da nova proposta (2 un., R$ 15.880,00) não foi incluído acima — mesma tipologia, linha, dimensões, preço unit. e total do AL122, tudo indica duplicidade dentro da própria proposta da ON2. AL122 já foi atualizado no quadro principal (linha 79).</t>
  </si>
  <si>
    <t>Obs.: o grupo AL023 (a/b/c) já está corretamente refletido nas linhas 35-37 do quadro principal (célula mesclada nas colunas P/Q/R) — a nova proposta traz uma única linha "AL023A/B/C" (13 un., R$ 293.878,00), valor idêntico ao já registrado. Nenhuma alteração foi necessária ali.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</si>
</sst>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164" formatCode="_(&quot;R$&quot;* #,##0.00_);_(&quot;R$&quot;* \(#,##0.00\);_(&quot;R$&quot;* \-??_);_(@_)"/>
    <numFmt numFmtId="165" formatCode="_(\$* #,##0.00_);_(\$* \(#,##0.00\);_(\$* \-??_);_(@_)"/>
    <numFmt numFmtId="166" formatCode="_(* #,##0.00_);_(* \(#,##0.00\);_(* \-??_);_(@_)"/>
    <numFmt numFmtId="167" formatCode="m/d/yyyy"/>
    <numFmt numFmtId="168" formatCode="_(* #\,##0_);_(* \(#\,##0\);_(* \-??_);_(@_)"/>
    <numFmt numFmtId="169" formatCode="dd/mm/yy;@"/>
    <numFmt numFmtId="170" formatCode="&quot;R$ &quot;#,##0.00"/>
    <numFmt numFmtId="171" formatCode="&quot;R$ &quot;#,##0.00_);&quot;(R$ &quot;#,##0.00\)"/>
    <numFmt numFmtId="172" formatCode="mmm\-yy"/>
    <numFmt numFmtId="173" formatCode="0.000"/>
    <numFmt numFmtId="174" formatCode="_(* #\,##0\.00_);_(* \(#\,##0\.00\);_(* \-??_);_(@_)"/>
    <numFmt numFmtId="175" formatCode="0.00\."/>
    <numFmt numFmtId="176" formatCode="_-* #,##0.00_-;\-* #,##0.00_-;_-* \-??_-;_-@_-"/>
    <numFmt numFmtId="177" formatCode="_-&quot;R$ &quot;* #,##0.00_-;&quot;-R$ &quot;* #,##0.00_-;_-&quot;R$ &quot;* \-??_-;_-@_-"/>
    <numFmt numFmtId="178" formatCode="_-[$R$-416]\ * #,##0.00_-;\-[$R$-416]\ * #,##0.00_-;_-[$R$-416]\ * \-??_-;_-@_-"/>
  </numFmts>
  <fonts count="51">
    <font>
      <sz val="10"/>
      <name val="Arial"/>
      <charset val="1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b/>
      <sz val="20"/>
      <name val="Arial"/>
      <family val="2"/>
      <charset val="1"/>
    </font>
    <font>
      <sz val="16"/>
      <name val="Arial"/>
      <family val="2"/>
      <charset val="1"/>
    </font>
    <font>
      <b/>
      <sz val="16"/>
      <name val="Arial"/>
      <family val="2"/>
      <charset val="1"/>
    </font>
    <font>
      <b/>
      <sz val="14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6"/>
      <color rgb="FFFFFFFF"/>
      <name val="Arial"/>
      <family val="2"/>
      <charset val="1"/>
    </font>
    <font>
      <b/>
      <sz val="12"/>
      <color rgb="FF0000D4"/>
      <name val="Arial"/>
      <family val="2"/>
      <charset val="1"/>
    </font>
    <font>
      <sz val="12"/>
      <name val="Arial"/>
      <family val="2"/>
      <charset val="1"/>
    </font>
    <font>
      <b/>
      <sz val="12"/>
      <color rgb="FFFFFFFF"/>
      <name val="Arial"/>
      <family val="2"/>
      <charset val="1"/>
    </font>
    <font>
      <sz val="14"/>
      <name val="Arial"/>
      <family val="2"/>
      <charset val="1"/>
    </font>
    <font>
      <u/>
      <sz val="10"/>
      <color rgb="FF0000D4"/>
      <name val="Arial"/>
      <family val="2"/>
      <charset val="1"/>
    </font>
    <font>
      <b/>
      <sz val="12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sz val="11"/>
      <name val="Arial"/>
      <family val="2"/>
      <charset val="1"/>
    </font>
    <font>
      <b/>
      <sz val="12"/>
      <name val="Arial"/>
      <family val="2"/>
      <charset val="1"/>
    </font>
    <font>
      <b/>
      <u/>
      <sz val="12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FFFFFF"/>
      <name val="Arial"/>
      <family val="2"/>
      <charset val="1"/>
    </font>
    <font>
      <b/>
      <sz val="10"/>
      <color rgb="FFDD0806"/>
      <name val="Arial"/>
      <family val="2"/>
      <charset val="1"/>
    </font>
    <font>
      <b/>
      <sz val="12"/>
      <color theme="1"/>
      <name val="Arial"/>
      <family val="2"/>
      <charset val="1"/>
    </font>
    <font>
      <b/>
      <sz val="12"/>
      <color theme="0"/>
      <name val="Arial"/>
      <family val="2"/>
      <charset val="1"/>
    </font>
    <font>
      <b/>
      <sz val="13"/>
      <name val="Arial"/>
      <family val="2"/>
      <charset val="1"/>
    </font>
    <font>
      <b/>
      <sz val="28"/>
      <name val="Arial"/>
      <family val="2"/>
      <charset val="1"/>
    </font>
    <font>
      <b/>
      <sz val="26"/>
      <name val="Arial"/>
      <family val="2"/>
      <charset val="1"/>
    </font>
    <font>
      <b/>
      <sz val="16"/>
      <color theme="0"/>
      <name val="Arial"/>
      <family val="2"/>
      <charset val="1"/>
    </font>
    <font>
      <b/>
      <sz val="16"/>
      <name val="Tahoma"/>
      <family val="2"/>
      <charset val="1"/>
    </font>
    <font>
      <b/>
      <sz val="18"/>
      <name val="Arial"/>
      <family val="2"/>
      <charset val="1"/>
    </font>
    <font>
      <sz val="16"/>
      <name val="Tahoma"/>
      <family val="2"/>
      <charset val="1"/>
    </font>
    <font>
      <sz val="18"/>
      <name val="Arial"/>
      <family val="2"/>
      <charset val="1"/>
    </font>
    <font>
      <u/>
      <sz val="16"/>
      <color rgb="FF0000D4"/>
      <name val="Tahoma"/>
      <family val="2"/>
      <charset val="1"/>
    </font>
    <font>
      <u/>
      <sz val="16"/>
      <color rgb="FF0000D4"/>
      <name val="Arial"/>
      <family val="2"/>
      <charset val="1"/>
    </font>
    <font>
      <b/>
      <sz val="16"/>
      <name val="Tahoma "/>
      <charset val="1"/>
    </font>
    <font>
      <b/>
      <sz val="16"/>
      <color theme="1"/>
      <name val="Tahoma"/>
      <family val="2"/>
      <charset val="1"/>
    </font>
    <font>
      <sz val="16"/>
      <color rgb="FF000000"/>
      <name val="Arial"/>
      <family val="2"/>
      <charset val="1"/>
    </font>
    <font>
      <sz val="16"/>
      <color theme="1"/>
      <name val="Tahoma"/>
      <family val="2"/>
      <charset val="1"/>
    </font>
    <font>
      <sz val="16"/>
      <color rgb="FFFF0000"/>
      <name val="Tahoma"/>
      <family val="2"/>
      <charset val="1"/>
    </font>
    <font>
      <b/>
      <sz val="16"/>
      <color rgb="FFFF0000"/>
      <name val="Tahoma"/>
      <family val="2"/>
      <charset val="1"/>
    </font>
    <font>
      <i/>
      <sz val="16"/>
      <color rgb="FFB8860B"/>
      <name val="Tahoma"/>
      <family val="2"/>
      <charset val="1"/>
    </font>
    <font>
      <b/>
      <sz val="16"/>
      <color rgb="FF000000"/>
      <name val="Tahoma"/>
      <family val="2"/>
      <charset val="1"/>
    </font>
    <font>
      <sz val="16"/>
      <name val="Tahoma "/>
      <charset val="1"/>
    </font>
    <font>
      <sz val="16"/>
      <color rgb="FF000000"/>
      <name val="Tahoma"/>
      <family val="2"/>
      <charset val="1"/>
    </font>
    <font>
      <b/>
      <sz val="16"/>
      <color theme="1"/>
      <name val="Arial"/>
      <family val="2"/>
      <charset val="1"/>
    </font>
    <font>
      <b/>
      <sz val="16"/>
      <color rgb="FF000000"/>
      <name val="Arial"/>
      <family val="2"/>
      <charset val="1"/>
    </font>
    <font>
      <sz val="20"/>
      <name val="Arial"/>
      <family val="2"/>
      <charset val="1"/>
    </font>
    <font>
      <b/>
      <sz val="12"/>
      <color rgb="FFFFFFFF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i/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D0806"/>
        <bgColor rgb="FFC00000"/>
      </patternFill>
    </fill>
    <fill>
      <patternFill patternType="solid">
        <fgColor rgb="FFC00000"/>
        <bgColor rgb="FFDD0806"/>
      </patternFill>
    </fill>
    <fill>
      <patternFill patternType="solid">
        <fgColor theme="0" tint="-0.34998626667073579"/>
        <bgColor rgb="FFBFBFBF"/>
      </patternFill>
    </fill>
    <fill>
      <patternFill patternType="solid">
        <fgColor rgb="FFFF0000"/>
        <bgColor rgb="FFDD0806"/>
      </patternFill>
    </fill>
    <fill>
      <patternFill patternType="solid">
        <fgColor theme="0" tint="-0.499984740745262"/>
        <bgColor rgb="FF666699"/>
      </patternFill>
    </fill>
    <fill>
      <patternFill patternType="solid">
        <fgColor theme="3" tint="-0.249977111117893"/>
        <bgColor rgb="FF333333"/>
      </patternFill>
    </fill>
    <fill>
      <patternFill patternType="solid">
        <fgColor rgb="FF00B050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BFBFBF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</borders>
  <cellStyleXfs count="20">
    <xf numFmtId="0" fontId="0" fillId="0" borderId="0"/>
    <xf numFmtId="164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2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</cellStyleXfs>
  <cellXfs count="400">
    <xf numFmtId="0" fontId="0" fillId="0" borderId="0" xfId="0"/>
    <xf numFmtId="166" fontId="12" fillId="0" borderId="15" xfId="0" applyNumberFormat="1" applyFont="1" applyBorder="1" applyAlignment="1" applyProtection="1">
      <alignment horizontal="center" vertical="center" wrapText="1"/>
      <protection locked="0" hidden="1"/>
    </xf>
    <xf numFmtId="166" fontId="4" fillId="2" borderId="14" xfId="0" applyNumberFormat="1" applyFont="1" applyFill="1" applyBorder="1" applyAlignment="1" applyProtection="1">
      <alignment horizontal="right" vertical="center"/>
      <protection hidden="1"/>
    </xf>
    <xf numFmtId="168" fontId="6" fillId="3" borderId="8" xfId="0" applyNumberFormat="1" applyFont="1" applyFill="1" applyBorder="1" applyAlignment="1" applyProtection="1">
      <alignment horizontal="center" vertical="center" wrapText="1"/>
      <protection hidden="1"/>
    </xf>
    <xf numFmtId="0" fontId="11" fillId="3" borderId="1" xfId="0" applyFont="1" applyFill="1" applyBorder="1" applyAlignment="1" applyProtection="1">
      <alignment horizontal="center" vertical="center" wrapText="1"/>
      <protection hidden="1"/>
    </xf>
    <xf numFmtId="0" fontId="11" fillId="3" borderId="1" xfId="0" applyFont="1" applyFill="1" applyBorder="1" applyAlignment="1" applyProtection="1">
      <alignment horizontal="center" vertical="center"/>
      <protection hidden="1"/>
    </xf>
    <xf numFmtId="166" fontId="11" fillId="3" borderId="9" xfId="0" applyNumberFormat="1" applyFont="1" applyFill="1" applyBorder="1" applyAlignment="1" applyProtection="1">
      <alignment horizontal="center" vertical="center" wrapText="1"/>
      <protection hidden="1"/>
    </xf>
    <xf numFmtId="166" fontId="11" fillId="3" borderId="13" xfId="0" applyNumberFormat="1" applyFont="1" applyFill="1" applyBorder="1" applyAlignment="1" applyProtection="1">
      <alignment horizontal="center" vertical="center" wrapText="1"/>
      <protection hidden="1"/>
    </xf>
    <xf numFmtId="166" fontId="7" fillId="0" borderId="12" xfId="0" applyNumberFormat="1" applyFont="1" applyBorder="1" applyAlignment="1" applyProtection="1">
      <alignment horizontal="center" vertical="center" wrapText="1"/>
      <protection locked="0" hidden="1"/>
    </xf>
    <xf numFmtId="166" fontId="5" fillId="2" borderId="12" xfId="0" applyNumberFormat="1" applyFont="1" applyFill="1" applyBorder="1" applyAlignment="1" applyProtection="1">
      <alignment horizontal="right" vertical="center"/>
      <protection hidden="1"/>
    </xf>
    <xf numFmtId="166" fontId="8" fillId="3" borderId="1" xfId="0" applyNumberFormat="1" applyFont="1" applyFill="1" applyBorder="1" applyAlignment="1" applyProtection="1">
      <alignment horizontal="center" vertical="center" wrapText="1"/>
      <protection hidden="1"/>
    </xf>
    <xf numFmtId="166" fontId="8" fillId="3" borderId="1" xfId="0" applyNumberFormat="1" applyFont="1" applyFill="1" applyBorder="1" applyAlignment="1" applyProtection="1">
      <alignment horizontal="center" vertical="center"/>
      <protection hidden="1"/>
    </xf>
    <xf numFmtId="169" fontId="7" fillId="2" borderId="1" xfId="0" applyNumberFormat="1" applyFont="1" applyFill="1" applyBorder="1" applyAlignment="1" applyProtection="1">
      <alignment horizontal="center" vertical="center" wrapText="1"/>
      <protection locked="0" hidden="1"/>
    </xf>
    <xf numFmtId="167" fontId="4" fillId="0" borderId="1" xfId="0" applyNumberFormat="1" applyFont="1" applyBorder="1" applyAlignment="1" applyProtection="1">
      <alignment horizontal="center" vertical="center"/>
      <protection hidden="1"/>
    </xf>
    <xf numFmtId="0" fontId="0" fillId="0" borderId="1" xfId="0" applyBorder="1" applyAlignment="1" applyProtection="1">
      <alignment horizontal="center" vertical="center"/>
      <protection hidden="1"/>
    </xf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3" fillId="0" borderId="2" xfId="0" applyFont="1" applyBorder="1" applyAlignment="1" applyProtection="1">
      <alignment horizontal="left" vertical="center"/>
      <protection hidden="1"/>
    </xf>
    <xf numFmtId="0" fontId="3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horizontal="center" vertical="center"/>
      <protection hidden="1"/>
    </xf>
    <xf numFmtId="0" fontId="3" fillId="0" borderId="5" xfId="0" applyFont="1" applyBorder="1" applyAlignment="1" applyProtection="1">
      <alignment horizontal="left" vertical="center"/>
      <protection hidden="1"/>
    </xf>
    <xf numFmtId="0" fontId="3" fillId="0" borderId="6" xfId="0" applyFont="1" applyBorder="1" applyAlignment="1" applyProtection="1">
      <alignment horizontal="center" vertical="center"/>
      <protection hidden="1"/>
    </xf>
    <xf numFmtId="0" fontId="3" fillId="0" borderId="7" xfId="0" applyFont="1" applyBorder="1" applyAlignment="1" applyProtection="1">
      <alignment horizontal="center" vertical="center"/>
      <protection hidden="1"/>
    </xf>
    <xf numFmtId="168" fontId="5" fillId="2" borderId="8" xfId="0" applyNumberFormat="1" applyFont="1" applyFill="1" applyBorder="1" applyAlignment="1" applyProtection="1">
      <alignment horizontal="left" vertical="center"/>
      <protection hidden="1"/>
    </xf>
    <xf numFmtId="166" fontId="4" fillId="2" borderId="0" xfId="0" applyNumberFormat="1" applyFont="1" applyFill="1" applyAlignment="1" applyProtection="1">
      <alignment vertical="center"/>
      <protection hidden="1"/>
    </xf>
    <xf numFmtId="166" fontId="4" fillId="2" borderId="0" xfId="0" applyNumberFormat="1" applyFont="1" applyFill="1" applyAlignment="1" applyProtection="1">
      <alignment horizontal="left" vertical="center"/>
      <protection hidden="1"/>
    </xf>
    <xf numFmtId="166" fontId="4" fillId="2" borderId="0" xfId="0" applyNumberFormat="1" applyFont="1" applyFill="1" applyAlignment="1" applyProtection="1">
      <alignment horizontal="center" vertical="center"/>
      <protection hidden="1"/>
    </xf>
    <xf numFmtId="1" fontId="4" fillId="2" borderId="0" xfId="0" applyNumberFormat="1" applyFont="1" applyFill="1" applyAlignment="1" applyProtection="1">
      <alignment horizontal="center" vertical="center"/>
      <protection hidden="1"/>
    </xf>
    <xf numFmtId="166" fontId="4" fillId="2" borderId="0" xfId="0" applyNumberFormat="1" applyFont="1" applyFill="1" applyAlignment="1" applyProtection="1">
      <alignment horizontal="right" vertical="center"/>
      <protection hidden="1"/>
    </xf>
    <xf numFmtId="0" fontId="0" fillId="0" borderId="9" xfId="0" applyBorder="1" applyAlignment="1" applyProtection="1">
      <alignment vertical="center"/>
      <protection hidden="1"/>
    </xf>
    <xf numFmtId="168" fontId="6" fillId="3" borderId="1" xfId="0" applyNumberFormat="1" applyFont="1" applyFill="1" applyBorder="1" applyAlignment="1" applyProtection="1">
      <alignment horizontal="center" vertical="center"/>
      <protection hidden="1"/>
    </xf>
    <xf numFmtId="49" fontId="7" fillId="2" borderId="8" xfId="0" applyNumberFormat="1" applyFont="1" applyFill="1" applyBorder="1" applyAlignment="1" applyProtection="1">
      <alignment horizontal="center" vertical="center" wrapText="1"/>
      <protection locked="0" hidden="1"/>
    </xf>
    <xf numFmtId="0" fontId="8" fillId="3" borderId="10" xfId="0" applyFont="1" applyFill="1" applyBorder="1" applyAlignment="1" applyProtection="1">
      <alignment horizontal="center" vertical="center"/>
      <protection hidden="1"/>
    </xf>
    <xf numFmtId="166" fontId="9" fillId="2" borderId="11" xfId="0" applyNumberFormat="1" applyFont="1" applyFill="1" applyBorder="1" applyAlignment="1" applyProtection="1">
      <alignment horizontal="center" vertical="center"/>
      <protection hidden="1"/>
    </xf>
    <xf numFmtId="0" fontId="10" fillId="0" borderId="0" xfId="0" applyFont="1" applyAlignment="1" applyProtection="1">
      <alignment vertical="center"/>
      <protection hidden="1"/>
    </xf>
    <xf numFmtId="168" fontId="6" fillId="3" borderId="8" xfId="0" applyNumberFormat="1" applyFont="1" applyFill="1" applyBorder="1" applyAlignment="1" applyProtection="1">
      <alignment horizontal="center" vertical="center"/>
      <protection hidden="1"/>
    </xf>
    <xf numFmtId="49" fontId="7" fillId="2" borderId="1" xfId="0" applyNumberFormat="1" applyFont="1" applyFill="1" applyBorder="1" applyAlignment="1" applyProtection="1">
      <alignment horizontal="center" vertical="center" wrapText="1"/>
      <protection locked="0" hidden="1"/>
    </xf>
    <xf numFmtId="166" fontId="6" fillId="3" borderId="1" xfId="0" applyNumberFormat="1" applyFont="1" applyFill="1" applyBorder="1" applyAlignment="1" applyProtection="1">
      <alignment horizontal="center" vertical="center" wrapText="1"/>
      <protection hidden="1"/>
    </xf>
    <xf numFmtId="166" fontId="7" fillId="2" borderId="10" xfId="0" applyNumberFormat="1" applyFont="1" applyFill="1" applyBorder="1" applyAlignment="1" applyProtection="1">
      <alignment horizontal="center" vertical="center" wrapText="1"/>
      <protection locked="0" hidden="1"/>
    </xf>
    <xf numFmtId="166" fontId="5" fillId="2" borderId="12" xfId="0" applyNumberFormat="1" applyFont="1" applyFill="1" applyBorder="1" applyAlignment="1" applyProtection="1">
      <alignment horizontal="right" vertical="center"/>
      <protection hidden="1"/>
    </xf>
    <xf numFmtId="0" fontId="11" fillId="3" borderId="1" xfId="0" applyFont="1" applyFill="1" applyBorder="1" applyAlignment="1" applyProtection="1">
      <alignment horizontal="center" vertical="center"/>
      <protection hidden="1"/>
    </xf>
    <xf numFmtId="166" fontId="8" fillId="3" borderId="4" xfId="0" applyNumberFormat="1" applyFont="1" applyFill="1" applyBorder="1" applyAlignment="1" applyProtection="1">
      <alignment horizontal="center" vertical="center" wrapText="1"/>
      <protection hidden="1"/>
    </xf>
    <xf numFmtId="166" fontId="8" fillId="3" borderId="16" xfId="0" applyNumberFormat="1" applyFont="1" applyFill="1" applyBorder="1" applyAlignment="1" applyProtection="1">
      <alignment horizontal="center" vertical="center" wrapText="1"/>
      <protection hidden="1"/>
    </xf>
    <xf numFmtId="166" fontId="7" fillId="2" borderId="0" xfId="0" applyNumberFormat="1" applyFont="1" applyFill="1" applyAlignment="1" applyProtection="1">
      <alignment horizontal="center" vertical="center" wrapText="1"/>
      <protection locked="0" hidden="1"/>
    </xf>
    <xf numFmtId="166" fontId="6" fillId="3" borderId="7" xfId="0" applyNumberFormat="1" applyFont="1" applyFill="1" applyBorder="1" applyAlignment="1" applyProtection="1">
      <alignment horizontal="center" vertical="center" wrapText="1"/>
      <protection hidden="1"/>
    </xf>
    <xf numFmtId="166" fontId="7" fillId="2" borderId="0" xfId="0" applyNumberFormat="1" applyFont="1" applyFill="1" applyAlignment="1" applyProtection="1">
      <alignment horizontal="center" vertical="center" wrapText="1"/>
      <protection hidden="1"/>
    </xf>
    <xf numFmtId="166" fontId="4" fillId="2" borderId="18" xfId="0" applyNumberFormat="1" applyFont="1" applyFill="1" applyBorder="1" applyAlignment="1" applyProtection="1">
      <alignment horizontal="right" vertical="center"/>
      <protection hidden="1"/>
    </xf>
    <xf numFmtId="0" fontId="10" fillId="0" borderId="11" xfId="0" applyFont="1" applyBorder="1" applyAlignment="1" applyProtection="1">
      <alignment vertical="center"/>
      <protection hidden="1"/>
    </xf>
    <xf numFmtId="168" fontId="11" fillId="3" borderId="1" xfId="0" applyNumberFormat="1" applyFont="1" applyFill="1" applyBorder="1" applyAlignment="1" applyProtection="1">
      <alignment horizontal="center" vertical="center"/>
      <protection hidden="1"/>
    </xf>
    <xf numFmtId="166" fontId="11" fillId="3" borderId="8" xfId="0" applyNumberFormat="1" applyFont="1" applyFill="1" applyBorder="1" applyAlignment="1" applyProtection="1">
      <alignment horizontal="left" vertical="center"/>
      <protection hidden="1"/>
    </xf>
    <xf numFmtId="166" fontId="11" fillId="3" borderId="1" xfId="0" applyNumberFormat="1" applyFont="1" applyFill="1" applyBorder="1" applyAlignment="1" applyProtection="1">
      <alignment horizontal="center" vertical="center"/>
      <protection hidden="1"/>
    </xf>
    <xf numFmtId="166" fontId="11" fillId="3" borderId="8" xfId="0" applyNumberFormat="1" applyFont="1" applyFill="1" applyBorder="1" applyAlignment="1" applyProtection="1">
      <alignment horizontal="center" vertical="center" wrapText="1"/>
      <protection hidden="1"/>
    </xf>
    <xf numFmtId="166" fontId="11" fillId="3" borderId="1" xfId="0" applyNumberFormat="1" applyFont="1" applyFill="1" applyBorder="1" applyAlignment="1" applyProtection="1">
      <alignment horizontal="center" vertical="center" wrapText="1"/>
      <protection hidden="1"/>
    </xf>
    <xf numFmtId="0" fontId="11" fillId="3" borderId="9" xfId="0" applyFont="1" applyFill="1" applyBorder="1" applyAlignment="1" applyProtection="1">
      <alignment horizontal="center" vertical="center"/>
      <protection hidden="1"/>
    </xf>
    <xf numFmtId="0" fontId="14" fillId="0" borderId="1" xfId="0" applyFont="1" applyBorder="1" applyAlignment="1">
      <alignment horizontal="center" vertical="center"/>
    </xf>
    <xf numFmtId="3" fontId="10" fillId="0" borderId="1" xfId="0" applyNumberFormat="1" applyFont="1" applyBorder="1" applyAlignment="1" applyProtection="1">
      <alignment horizontal="center" vertical="center" wrapText="1"/>
      <protection locked="0" hidden="1"/>
    </xf>
    <xf numFmtId="166" fontId="10" fillId="0" borderId="1" xfId="0" applyNumberFormat="1" applyFont="1" applyBorder="1" applyAlignment="1" applyProtection="1">
      <alignment horizontal="center" vertical="center" wrapText="1"/>
      <protection locked="0" hidden="1"/>
    </xf>
    <xf numFmtId="4" fontId="10" fillId="0" borderId="1" xfId="0" applyNumberFormat="1" applyFont="1" applyBorder="1" applyAlignment="1" applyProtection="1">
      <alignment horizontal="center" vertical="center" wrapText="1"/>
      <protection hidden="1"/>
    </xf>
    <xf numFmtId="4" fontId="10" fillId="0" borderId="1" xfId="0" applyNumberFormat="1" applyFont="1" applyBorder="1" applyAlignment="1" applyProtection="1">
      <alignment vertical="center"/>
      <protection hidden="1"/>
    </xf>
    <xf numFmtId="4" fontId="10" fillId="0" borderId="1" xfId="0" applyNumberFormat="1" applyFont="1" applyBorder="1" applyAlignment="1" applyProtection="1">
      <alignment horizontal="center" vertical="center"/>
      <protection hidden="1"/>
    </xf>
    <xf numFmtId="49" fontId="10" fillId="0" borderId="1" xfId="0" applyNumberFormat="1" applyFont="1" applyBorder="1" applyAlignment="1" applyProtection="1">
      <alignment horizontal="center" vertical="center" wrapText="1"/>
      <protection locked="0" hidden="1"/>
    </xf>
    <xf numFmtId="2" fontId="10" fillId="0" borderId="1" xfId="0" applyNumberFormat="1" applyFont="1" applyBorder="1" applyAlignment="1" applyProtection="1">
      <alignment horizontal="center" vertical="center" wrapText="1"/>
      <protection locked="0" hidden="1"/>
    </xf>
    <xf numFmtId="4" fontId="10" fillId="2" borderId="0" xfId="0" applyNumberFormat="1" applyFont="1" applyFill="1" applyAlignment="1" applyProtection="1">
      <alignment vertical="center" wrapText="1"/>
      <protection locked="0" hidden="1"/>
    </xf>
    <xf numFmtId="4" fontId="15" fillId="0" borderId="19" xfId="0" applyNumberFormat="1" applyFont="1" applyBorder="1" applyAlignment="1" applyProtection="1">
      <alignment horizontal="right" vertical="center"/>
      <protection locked="0" hidden="1"/>
    </xf>
    <xf numFmtId="1" fontId="14" fillId="0" borderId="1" xfId="0" applyNumberFormat="1" applyFont="1" applyBorder="1" applyAlignment="1" applyProtection="1">
      <alignment horizontal="center" vertical="center" wrapText="1"/>
      <protection locked="0" hidden="1"/>
    </xf>
    <xf numFmtId="166" fontId="16" fillId="0" borderId="1" xfId="0" applyNumberFormat="1" applyFont="1" applyBorder="1" applyAlignment="1" applyProtection="1">
      <alignment horizontal="center" vertical="center" wrapText="1"/>
      <protection locked="0" hidden="1"/>
    </xf>
    <xf numFmtId="4" fontId="10" fillId="2" borderId="1" xfId="0" applyNumberFormat="1" applyFont="1" applyFill="1" applyBorder="1" applyAlignment="1" applyProtection="1">
      <alignment horizontal="center" vertical="center" wrapText="1"/>
      <protection hidden="1"/>
    </xf>
    <xf numFmtId="0" fontId="0" fillId="2" borderId="0" xfId="0" applyFill="1" applyAlignment="1" applyProtection="1">
      <alignment horizontal="center" vertical="center"/>
      <protection hidden="1"/>
    </xf>
    <xf numFmtId="0" fontId="11" fillId="3" borderId="5" xfId="0" applyFont="1" applyFill="1" applyBorder="1" applyAlignment="1">
      <alignment vertical="center"/>
    </xf>
    <xf numFmtId="0" fontId="11" fillId="3" borderId="6" xfId="0" applyFont="1" applyFill="1" applyBorder="1" applyAlignment="1">
      <alignment horizontal="center" vertical="center"/>
    </xf>
    <xf numFmtId="2" fontId="11" fillId="3" borderId="7" xfId="0" applyNumberFormat="1" applyFont="1" applyFill="1" applyBorder="1" applyAlignment="1">
      <alignment horizontal="center" vertical="center"/>
    </xf>
    <xf numFmtId="0" fontId="18" fillId="2" borderId="21" xfId="0" applyFont="1" applyFill="1" applyBorder="1" applyAlignment="1">
      <alignment horizontal="left" vertical="center"/>
    </xf>
    <xf numFmtId="166" fontId="10" fillId="0" borderId="0" xfId="0" applyNumberFormat="1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2" borderId="21" xfId="0" applyFont="1" applyFill="1" applyBorder="1" applyAlignment="1">
      <alignment horizontal="left" vertical="center"/>
    </xf>
    <xf numFmtId="171" fontId="4" fillId="0" borderId="0" xfId="0" applyNumberFormat="1" applyFont="1" applyAlignment="1">
      <alignment vertical="center"/>
    </xf>
    <xf numFmtId="9" fontId="4" fillId="0" borderId="0" xfId="0" applyNumberFormat="1" applyFont="1" applyAlignment="1">
      <alignment horizontal="center" vertical="center"/>
    </xf>
    <xf numFmtId="0" fontId="10" fillId="0" borderId="16" xfId="0" applyFont="1" applyBorder="1" applyAlignment="1">
      <alignment vertical="center"/>
    </xf>
    <xf numFmtId="170" fontId="17" fillId="0" borderId="20" xfId="0" applyNumberFormat="1" applyFont="1" applyBorder="1" applyAlignment="1" applyProtection="1">
      <alignment horizontal="center" vertical="center"/>
      <protection locked="0" hidden="1"/>
    </xf>
    <xf numFmtId="170" fontId="0" fillId="2" borderId="0" xfId="0" applyNumberFormat="1" applyFill="1" applyAlignment="1" applyProtection="1">
      <alignment horizontal="center" vertical="center"/>
      <protection locked="0" hidden="1"/>
    </xf>
    <xf numFmtId="170" fontId="1" fillId="2" borderId="0" xfId="0" applyNumberFormat="1" applyFont="1" applyFill="1" applyAlignment="1" applyProtection="1">
      <alignment vertical="center"/>
      <protection locked="0" hidden="1"/>
    </xf>
    <xf numFmtId="170" fontId="0" fillId="0" borderId="4" xfId="0" applyNumberFormat="1" applyBorder="1" applyAlignment="1" applyProtection="1">
      <alignment vertical="center"/>
      <protection hidden="1"/>
    </xf>
    <xf numFmtId="170" fontId="0" fillId="0" borderId="0" xfId="0" applyNumberFormat="1" applyAlignment="1" applyProtection="1">
      <alignment vertical="center"/>
      <protection hidden="1"/>
    </xf>
    <xf numFmtId="0" fontId="20" fillId="3" borderId="1" xfId="0" applyFont="1" applyFill="1" applyBorder="1" applyAlignment="1" applyProtection="1">
      <alignment horizontal="center" vertical="center"/>
      <protection hidden="1"/>
    </xf>
    <xf numFmtId="172" fontId="11" fillId="3" borderId="1" xfId="0" applyNumberFormat="1" applyFont="1" applyFill="1" applyBorder="1" applyAlignment="1" applyProtection="1">
      <alignment horizontal="center" vertical="center"/>
      <protection hidden="1"/>
    </xf>
    <xf numFmtId="173" fontId="11" fillId="3" borderId="1" xfId="0" applyNumberFormat="1" applyFont="1" applyFill="1" applyBorder="1" applyAlignment="1" applyProtection="1">
      <alignment horizontal="center" vertical="center"/>
      <protection locked="0" hidden="1"/>
    </xf>
    <xf numFmtId="0" fontId="0" fillId="2" borderId="0" xfId="0" applyFill="1" applyAlignment="1" applyProtection="1">
      <alignment horizontal="center" vertical="center"/>
      <protection locked="0" hidden="1"/>
    </xf>
    <xf numFmtId="166" fontId="1" fillId="2" borderId="0" xfId="0" applyNumberFormat="1" applyFont="1" applyFill="1" applyAlignment="1" applyProtection="1">
      <alignment vertical="center"/>
      <protection locked="0" hidden="1"/>
    </xf>
    <xf numFmtId="0" fontId="0" fillId="0" borderId="16" xfId="0" applyBorder="1" applyAlignment="1" applyProtection="1">
      <alignment vertical="center"/>
      <protection hidden="1"/>
    </xf>
    <xf numFmtId="172" fontId="10" fillId="2" borderId="21" xfId="0" applyNumberFormat="1" applyFont="1" applyFill="1" applyBorder="1" applyAlignment="1">
      <alignment horizontal="left" vertical="center"/>
    </xf>
    <xf numFmtId="0" fontId="19" fillId="0" borderId="1" xfId="0" applyFont="1" applyBorder="1" applyAlignment="1" applyProtection="1">
      <alignment horizontal="center" vertical="center"/>
      <protection hidden="1"/>
    </xf>
    <xf numFmtId="172" fontId="17" fillId="0" borderId="1" xfId="0" applyNumberFormat="1" applyFont="1" applyBorder="1" applyAlignment="1" applyProtection="1">
      <alignment horizontal="center" vertical="center"/>
      <protection hidden="1"/>
    </xf>
    <xf numFmtId="173" fontId="14" fillId="0" borderId="1" xfId="0" applyNumberFormat="1" applyFont="1" applyBorder="1" applyAlignment="1" applyProtection="1">
      <alignment horizontal="center" vertical="center"/>
      <protection locked="0" hidden="1"/>
    </xf>
    <xf numFmtId="0" fontId="17" fillId="2" borderId="21" xfId="0" applyFont="1" applyFill="1" applyBorder="1" applyAlignment="1">
      <alignment horizontal="left" vertical="center"/>
    </xf>
    <xf numFmtId="171" fontId="5" fillId="0" borderId="0" xfId="0" applyNumberFormat="1" applyFont="1" applyAlignment="1">
      <alignment vertical="center"/>
    </xf>
    <xf numFmtId="0" fontId="4" fillId="0" borderId="0" xfId="0" applyFont="1" applyAlignment="1">
      <alignment horizontal="center" vertical="center"/>
    </xf>
    <xf numFmtId="10" fontId="19" fillId="0" borderId="1" xfId="0" applyNumberFormat="1" applyFont="1" applyBorder="1" applyAlignment="1" applyProtection="1">
      <alignment horizontal="center" vertical="center"/>
      <protection hidden="1"/>
    </xf>
    <xf numFmtId="167" fontId="21" fillId="2" borderId="0" xfId="0" applyNumberFormat="1" applyFont="1" applyFill="1" applyAlignment="1" applyProtection="1">
      <alignment vertical="center"/>
      <protection locked="0" hidden="1"/>
    </xf>
    <xf numFmtId="0" fontId="10" fillId="0" borderId="0" xfId="0" applyFont="1" applyAlignment="1">
      <alignment vertical="center"/>
    </xf>
    <xf numFmtId="0" fontId="10" fillId="2" borderId="0" xfId="0" applyFont="1" applyFill="1" applyAlignment="1">
      <alignment horizontal="right" vertical="center"/>
    </xf>
    <xf numFmtId="0" fontId="10" fillId="2" borderId="16" xfId="0" applyFont="1" applyFill="1" applyBorder="1" applyAlignment="1">
      <alignment horizontal="right" vertical="center"/>
    </xf>
    <xf numFmtId="0" fontId="1" fillId="0" borderId="0" xfId="0" applyFont="1" applyAlignment="1" applyProtection="1">
      <alignment vertical="center"/>
      <protection locked="0" hidden="1"/>
    </xf>
    <xf numFmtId="166" fontId="17" fillId="2" borderId="0" xfId="0" applyNumberFormat="1" applyFont="1" applyFill="1" applyAlignment="1">
      <alignment horizontal="right" vertical="center"/>
    </xf>
    <xf numFmtId="175" fontId="17" fillId="2" borderId="0" xfId="0" applyNumberFormat="1" applyFont="1" applyFill="1" applyAlignment="1">
      <alignment horizontal="center" vertical="center"/>
    </xf>
    <xf numFmtId="0" fontId="17" fillId="2" borderId="16" xfId="0" applyFont="1" applyFill="1" applyBorder="1" applyAlignment="1">
      <alignment horizontal="right" vertical="center"/>
    </xf>
    <xf numFmtId="0" fontId="17" fillId="0" borderId="0" xfId="0" applyFont="1" applyAlignment="1" applyProtection="1">
      <alignment vertical="center"/>
      <protection hidden="1"/>
    </xf>
    <xf numFmtId="172" fontId="22" fillId="5" borderId="1" xfId="0" applyNumberFormat="1" applyFont="1" applyFill="1" applyBorder="1" applyAlignment="1" applyProtection="1">
      <alignment horizontal="center" vertical="center"/>
      <protection hidden="1"/>
    </xf>
    <xf numFmtId="0" fontId="23" fillId="6" borderId="1" xfId="0" applyFont="1" applyFill="1" applyBorder="1" applyAlignment="1" applyProtection="1">
      <alignment horizontal="left" vertical="center"/>
      <protection hidden="1"/>
    </xf>
    <xf numFmtId="172" fontId="23" fillId="6" borderId="1" xfId="0" applyNumberFormat="1" applyFont="1" applyFill="1" applyBorder="1" applyAlignment="1" applyProtection="1">
      <alignment horizontal="center" vertical="center"/>
      <protection hidden="1"/>
    </xf>
    <xf numFmtId="173" fontId="23" fillId="6" borderId="1" xfId="0" applyNumberFormat="1" applyFont="1" applyFill="1" applyBorder="1" applyAlignment="1" applyProtection="1">
      <alignment horizontal="center" vertical="center"/>
      <protection locked="0" hidden="1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right" vertical="center"/>
    </xf>
    <xf numFmtId="0" fontId="1" fillId="3" borderId="7" xfId="0" applyFont="1" applyFill="1" applyBorder="1" applyAlignment="1">
      <alignment horizontal="right" vertical="center"/>
    </xf>
    <xf numFmtId="0" fontId="17" fillId="0" borderId="1" xfId="0" applyFont="1" applyBorder="1" applyAlignment="1" applyProtection="1">
      <alignment horizontal="left" vertical="center"/>
      <protection hidden="1"/>
    </xf>
    <xf numFmtId="166" fontId="1" fillId="2" borderId="6" xfId="0" applyNumberFormat="1" applyFont="1" applyFill="1" applyBorder="1" applyAlignment="1" applyProtection="1">
      <alignment horizontal="center" vertical="center"/>
      <protection locked="0" hidden="1"/>
    </xf>
    <xf numFmtId="167" fontId="1" fillId="2" borderId="6" xfId="0" applyNumberFormat="1" applyFont="1" applyFill="1" applyBorder="1" applyAlignment="1" applyProtection="1">
      <alignment vertical="center"/>
      <protection locked="0" hidden="1"/>
    </xf>
    <xf numFmtId="0" fontId="0" fillId="0" borderId="7" xfId="0" applyBorder="1" applyAlignment="1" applyProtection="1">
      <alignment vertical="center"/>
      <protection hidden="1"/>
    </xf>
    <xf numFmtId="0" fontId="12" fillId="0" borderId="0" xfId="0" applyFont="1" applyAlignment="1" applyProtection="1">
      <alignment vertical="center"/>
      <protection hidden="1"/>
    </xf>
    <xf numFmtId="0" fontId="1" fillId="0" borderId="0" xfId="0" applyFont="1" applyAlignment="1" applyProtection="1">
      <alignment vertical="center"/>
      <protection hidden="1"/>
    </xf>
    <xf numFmtId="173" fontId="0" fillId="0" borderId="0" xfId="0" applyNumberFormat="1" applyAlignment="1" applyProtection="1">
      <alignment vertical="center"/>
      <protection hidden="1"/>
    </xf>
    <xf numFmtId="0" fontId="1" fillId="0" borderId="0" xfId="0" applyFont="1" applyAlignment="1" applyProtection="1">
      <alignment horizontal="left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1" fontId="1" fillId="0" borderId="0" xfId="0" applyNumberFormat="1" applyFont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right" vertical="center"/>
      <protection hidden="1"/>
    </xf>
    <xf numFmtId="0" fontId="12" fillId="0" borderId="3" xfId="0" applyFont="1" applyBorder="1" applyAlignment="1" applyProtection="1">
      <alignment horizontal="center" vertical="center"/>
      <protection hidden="1"/>
    </xf>
    <xf numFmtId="0" fontId="5" fillId="0" borderId="3" xfId="0" applyFont="1" applyBorder="1" applyAlignment="1" applyProtection="1">
      <alignment horizontal="left" vertical="center"/>
      <protection hidden="1"/>
    </xf>
    <xf numFmtId="0" fontId="7" fillId="0" borderId="3" xfId="0" applyFont="1" applyBorder="1" applyAlignment="1" applyProtection="1">
      <alignment horizontal="center" vertical="center"/>
      <protection hidden="1"/>
    </xf>
    <xf numFmtId="166" fontId="12" fillId="2" borderId="2" xfId="0" applyNumberFormat="1" applyFont="1" applyFill="1" applyBorder="1" applyAlignment="1" applyProtection="1">
      <alignment vertical="center"/>
      <protection hidden="1"/>
    </xf>
    <xf numFmtId="166" fontId="12" fillId="2" borderId="3" xfId="0" applyNumberFormat="1" applyFont="1" applyFill="1" applyBorder="1" applyAlignment="1" applyProtection="1">
      <alignment vertical="center"/>
      <protection hidden="1"/>
    </xf>
    <xf numFmtId="0" fontId="7" fillId="0" borderId="2" xfId="0" applyFont="1" applyBorder="1" applyAlignment="1" applyProtection="1">
      <alignment horizontal="center" vertical="center"/>
      <protection hidden="1"/>
    </xf>
    <xf numFmtId="0" fontId="7" fillId="0" borderId="4" xfId="0" applyFont="1" applyBorder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center" vertical="center"/>
      <protection hidden="1"/>
    </xf>
    <xf numFmtId="166" fontId="12" fillId="2" borderId="0" xfId="0" applyNumberFormat="1" applyFont="1" applyFill="1" applyAlignment="1" applyProtection="1">
      <alignment vertical="center"/>
      <protection hidden="1"/>
    </xf>
    <xf numFmtId="0" fontId="12" fillId="0" borderId="0" xfId="0" applyFont="1" applyAlignment="1" applyProtection="1">
      <alignment horizontal="center" vertical="center"/>
      <protection hidden="1"/>
    </xf>
    <xf numFmtId="0" fontId="25" fillId="2" borderId="0" xfId="0" applyFont="1" applyFill="1" applyAlignment="1" applyProtection="1">
      <alignment horizontal="left" vertical="center"/>
      <protection hidden="1"/>
    </xf>
    <xf numFmtId="0" fontId="26" fillId="0" borderId="0" xfId="0" applyFont="1" applyAlignment="1" applyProtection="1">
      <alignment horizontal="left" vertical="center"/>
      <protection hidden="1"/>
    </xf>
    <xf numFmtId="0" fontId="26" fillId="0" borderId="0" xfId="0" applyFont="1" applyAlignment="1" applyProtection="1">
      <alignment horizontal="center" vertical="center"/>
      <protection hidden="1"/>
    </xf>
    <xf numFmtId="166" fontId="12" fillId="2" borderId="21" xfId="0" applyNumberFormat="1" applyFont="1" applyFill="1" applyBorder="1" applyAlignment="1" applyProtection="1">
      <alignment vertical="center"/>
      <protection hidden="1"/>
    </xf>
    <xf numFmtId="0" fontId="7" fillId="0" borderId="21" xfId="0" applyFont="1" applyBorder="1" applyAlignment="1" applyProtection="1">
      <alignment horizontal="center" vertical="center"/>
      <protection hidden="1"/>
    </xf>
    <xf numFmtId="0" fontId="7" fillId="0" borderId="16" xfId="0" applyFont="1" applyBorder="1" applyAlignment="1" applyProtection="1">
      <alignment horizontal="center" vertical="center"/>
      <protection hidden="1"/>
    </xf>
    <xf numFmtId="0" fontId="12" fillId="0" borderId="6" xfId="0" applyFont="1" applyBorder="1" applyAlignment="1" applyProtection="1">
      <alignment horizontal="center" vertical="center"/>
      <protection hidden="1"/>
    </xf>
    <xf numFmtId="0" fontId="3" fillId="2" borderId="6" xfId="0" applyFont="1" applyFill="1" applyBorder="1" applyAlignment="1" applyProtection="1">
      <alignment horizontal="center" vertical="center"/>
      <protection hidden="1"/>
    </xf>
    <xf numFmtId="0" fontId="3" fillId="2" borderId="6" xfId="0" applyFont="1" applyFill="1" applyBorder="1" applyAlignment="1" applyProtection="1">
      <alignment horizontal="left" vertical="center"/>
      <protection hidden="1"/>
    </xf>
    <xf numFmtId="0" fontId="7" fillId="0" borderId="6" xfId="0" applyFont="1" applyBorder="1" applyAlignment="1" applyProtection="1">
      <alignment horizontal="center" vertical="center"/>
      <protection hidden="1"/>
    </xf>
    <xf numFmtId="0" fontId="7" fillId="0" borderId="5" xfId="0" applyFont="1" applyBorder="1" applyAlignment="1" applyProtection="1">
      <alignment horizontal="center" vertical="center"/>
      <protection hidden="1"/>
    </xf>
    <xf numFmtId="0" fontId="7" fillId="0" borderId="7" xfId="0" applyFont="1" applyBorder="1" applyAlignment="1" applyProtection="1">
      <alignment horizontal="center" vertical="center"/>
      <protection hidden="1"/>
    </xf>
    <xf numFmtId="0" fontId="12" fillId="0" borderId="0" xfId="0" applyFont="1" applyAlignment="1" applyProtection="1">
      <alignment horizontal="right" vertical="center"/>
      <protection hidden="1"/>
    </xf>
    <xf numFmtId="168" fontId="7" fillId="2" borderId="8" xfId="0" applyNumberFormat="1" applyFont="1" applyFill="1" applyBorder="1" applyAlignment="1" applyProtection="1">
      <alignment horizontal="left" vertical="center"/>
      <protection hidden="1"/>
    </xf>
    <xf numFmtId="166" fontId="12" fillId="2" borderId="0" xfId="0" applyNumberFormat="1" applyFont="1" applyFill="1" applyAlignment="1" applyProtection="1">
      <alignment horizontal="left" vertical="center"/>
      <protection hidden="1"/>
    </xf>
    <xf numFmtId="166" fontId="12" fillId="2" borderId="0" xfId="0" applyNumberFormat="1" applyFont="1" applyFill="1" applyAlignment="1" applyProtection="1">
      <alignment horizontal="center" vertical="center"/>
      <protection hidden="1"/>
    </xf>
    <xf numFmtId="168" fontId="8" fillId="8" borderId="1" xfId="0" applyNumberFormat="1" applyFont="1" applyFill="1" applyBorder="1" applyAlignment="1" applyProtection="1">
      <alignment horizontal="center" vertical="center"/>
      <protection hidden="1"/>
    </xf>
    <xf numFmtId="166" fontId="8" fillId="8" borderId="10" xfId="0" applyNumberFormat="1" applyFont="1" applyFill="1" applyBorder="1" applyAlignment="1" applyProtection="1">
      <alignment horizontal="center" vertical="center" wrapText="1"/>
      <protection hidden="1"/>
    </xf>
    <xf numFmtId="0" fontId="27" fillId="8" borderId="10" xfId="0" applyFont="1" applyFill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vertical="center"/>
      <protection hidden="1"/>
    </xf>
    <xf numFmtId="168" fontId="27" fillId="8" borderId="8" xfId="0" applyNumberFormat="1" applyFont="1" applyFill="1" applyBorder="1" applyAlignment="1" applyProtection="1">
      <alignment horizontal="center" vertical="center"/>
      <protection hidden="1"/>
    </xf>
    <xf numFmtId="49" fontId="5" fillId="0" borderId="1" xfId="0" applyNumberFormat="1" applyFont="1" applyBorder="1" applyAlignment="1" applyProtection="1">
      <alignment horizontal="center" vertical="center" wrapText="1"/>
      <protection locked="0" hidden="1"/>
    </xf>
    <xf numFmtId="166" fontId="27" fillId="8" borderId="1" xfId="0" applyNumberFormat="1" applyFont="1" applyFill="1" applyBorder="1" applyAlignment="1" applyProtection="1">
      <alignment horizontal="right" vertical="center" wrapText="1"/>
      <protection hidden="1"/>
    </xf>
    <xf numFmtId="176" fontId="5" fillId="2" borderId="12" xfId="0" applyNumberFormat="1" applyFont="1" applyFill="1" applyBorder="1" applyAlignment="1" applyProtection="1">
      <alignment horizontal="right" vertical="center"/>
      <protection hidden="1"/>
    </xf>
    <xf numFmtId="166" fontId="27" fillId="8" borderId="16" xfId="0" applyNumberFormat="1" applyFont="1" applyFill="1" applyBorder="1" applyAlignment="1" applyProtection="1">
      <alignment horizontal="right" vertical="center" wrapText="1"/>
      <protection hidden="1"/>
    </xf>
    <xf numFmtId="176" fontId="4" fillId="2" borderId="17" xfId="0" applyNumberFormat="1" applyFont="1" applyFill="1" applyBorder="1" applyAlignment="1" applyProtection="1">
      <alignment horizontal="right" vertical="center"/>
      <protection hidden="1"/>
    </xf>
    <xf numFmtId="166" fontId="4" fillId="2" borderId="17" xfId="0" applyNumberFormat="1" applyFont="1" applyFill="1" applyBorder="1" applyAlignment="1" applyProtection="1">
      <alignment horizontal="right" vertical="center"/>
      <protection hidden="1"/>
    </xf>
    <xf numFmtId="166" fontId="27" fillId="8" borderId="16" xfId="0" applyNumberFormat="1" applyFont="1" applyFill="1" applyBorder="1" applyAlignment="1" applyProtection="1">
      <alignment horizontal="center" vertical="center" wrapText="1"/>
      <protection hidden="1"/>
    </xf>
    <xf numFmtId="166" fontId="5" fillId="0" borderId="0" xfId="0" applyNumberFormat="1" applyFont="1" applyAlignment="1" applyProtection="1">
      <alignment horizontal="center" vertical="center" wrapText="1"/>
      <protection locked="0" hidden="1"/>
    </xf>
    <xf numFmtId="166" fontId="27" fillId="8" borderId="7" xfId="0" applyNumberFormat="1" applyFont="1" applyFill="1" applyBorder="1" applyAlignment="1" applyProtection="1">
      <alignment horizontal="center" vertical="center" wrapText="1"/>
      <protection hidden="1"/>
    </xf>
    <xf numFmtId="166" fontId="5" fillId="0" borderId="0" xfId="0" applyNumberFormat="1" applyFont="1" applyAlignment="1" applyProtection="1">
      <alignment horizontal="center" vertical="center" wrapText="1"/>
      <protection hidden="1"/>
    </xf>
    <xf numFmtId="176" fontId="4" fillId="2" borderId="18" xfId="0" applyNumberFormat="1" applyFont="1" applyFill="1" applyBorder="1" applyAlignment="1" applyProtection="1">
      <alignment horizontal="right" vertical="center"/>
      <protection hidden="1"/>
    </xf>
    <xf numFmtId="168" fontId="8" fillId="9" borderId="1" xfId="0" applyNumberFormat="1" applyFont="1" applyFill="1" applyBorder="1" applyAlignment="1" applyProtection="1">
      <alignment horizontal="center" vertical="center"/>
      <protection hidden="1"/>
    </xf>
    <xf numFmtId="166" fontId="8" fillId="9" borderId="8" xfId="0" applyNumberFormat="1" applyFont="1" applyFill="1" applyBorder="1" applyAlignment="1" applyProtection="1">
      <alignment horizontal="center" vertical="center" wrapText="1"/>
      <protection hidden="1"/>
    </xf>
    <xf numFmtId="166" fontId="8" fillId="9" borderId="1" xfId="0" applyNumberFormat="1" applyFont="1" applyFill="1" applyBorder="1" applyAlignment="1" applyProtection="1">
      <alignment horizontal="center" vertical="center"/>
      <protection hidden="1"/>
    </xf>
    <xf numFmtId="166" fontId="8" fillId="9" borderId="1" xfId="0" applyNumberFormat="1" applyFont="1" applyFill="1" applyBorder="1" applyAlignment="1" applyProtection="1">
      <alignment horizontal="center" vertical="center" wrapText="1"/>
      <protection hidden="1"/>
    </xf>
    <xf numFmtId="166" fontId="8" fillId="9" borderId="8" xfId="0" applyNumberFormat="1" applyFont="1" applyFill="1" applyBorder="1" applyAlignment="1" applyProtection="1">
      <alignment horizontal="center" vertical="center"/>
      <protection hidden="1"/>
    </xf>
    <xf numFmtId="0" fontId="8" fillId="9" borderId="1" xfId="0" applyFont="1" applyFill="1" applyBorder="1" applyAlignment="1" applyProtection="1">
      <alignment horizontal="center" vertical="center" wrapText="1"/>
      <protection hidden="1"/>
    </xf>
    <xf numFmtId="166" fontId="8" fillId="7" borderId="1" xfId="0" applyNumberFormat="1" applyFont="1" applyFill="1" applyBorder="1" applyAlignment="1" applyProtection="1">
      <alignment horizontal="center" vertical="center" wrapText="1"/>
      <protection hidden="1"/>
    </xf>
    <xf numFmtId="0" fontId="8" fillId="7" borderId="1" xfId="0" applyFont="1" applyFill="1" applyBorder="1" applyAlignment="1" applyProtection="1">
      <alignment horizontal="center" vertical="center" wrapText="1"/>
      <protection hidden="1"/>
    </xf>
    <xf numFmtId="0" fontId="8" fillId="7" borderId="9" xfId="0" applyFont="1" applyFill="1" applyBorder="1" applyAlignment="1" applyProtection="1">
      <alignment horizontal="center" vertical="center" wrapText="1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3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 wrapText="1"/>
      <protection locked="0" hidden="1"/>
    </xf>
    <xf numFmtId="0" fontId="28" fillId="2" borderId="1" xfId="0" applyFont="1" applyFill="1" applyBorder="1" applyAlignment="1">
      <alignment horizontal="center" vertical="center"/>
    </xf>
    <xf numFmtId="2" fontId="30" fillId="0" borderId="1" xfId="0" applyNumberFormat="1" applyFont="1" applyBorder="1" applyAlignment="1">
      <alignment horizontal="center" vertical="center"/>
    </xf>
    <xf numFmtId="177" fontId="30" fillId="0" borderId="1" xfId="0" applyNumberFormat="1" applyFont="1" applyBorder="1" applyAlignment="1">
      <alignment horizontal="center" vertical="center"/>
    </xf>
    <xf numFmtId="177" fontId="28" fillId="0" borderId="1" xfId="0" applyNumberFormat="1" applyFont="1" applyBorder="1" applyAlignment="1">
      <alignment horizontal="center" vertical="center"/>
    </xf>
    <xf numFmtId="4" fontId="5" fillId="0" borderId="8" xfId="0" applyNumberFormat="1" applyFont="1" applyBorder="1" applyAlignment="1" applyProtection="1">
      <alignment horizontal="center" vertical="center" wrapText="1"/>
      <protection locked="0" hidden="1"/>
    </xf>
    <xf numFmtId="164" fontId="5" fillId="0" borderId="1" xfId="0" applyNumberFormat="1" applyFont="1" applyBorder="1" applyAlignment="1" applyProtection="1">
      <alignment horizontal="center" vertical="center" wrapText="1"/>
      <protection hidden="1"/>
    </xf>
    <xf numFmtId="164" fontId="5" fillId="0" borderId="1" xfId="0" applyNumberFormat="1" applyFont="1" applyBorder="1" applyAlignment="1" applyProtection="1">
      <alignment horizontal="center" vertical="center"/>
      <protection hidden="1"/>
    </xf>
    <xf numFmtId="164" fontId="5" fillId="0" borderId="8" xfId="0" applyNumberFormat="1" applyFont="1" applyBorder="1" applyAlignment="1" applyProtection="1">
      <alignment horizontal="center" vertical="center"/>
      <protection hidden="1"/>
    </xf>
    <xf numFmtId="0" fontId="5" fillId="2" borderId="1" xfId="0" applyFont="1" applyFill="1" applyBorder="1" applyAlignment="1" applyProtection="1">
      <alignment horizontal="center" vertical="center" wrapText="1"/>
      <protection locked="0" hidden="1"/>
    </xf>
    <xf numFmtId="164" fontId="5" fillId="2" borderId="1" xfId="0" applyNumberFormat="1" applyFont="1" applyFill="1" applyBorder="1" applyAlignment="1" applyProtection="1">
      <alignment horizontal="center" vertical="center" wrapText="1"/>
      <protection hidden="1"/>
    </xf>
    <xf numFmtId="177" fontId="35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 applyProtection="1">
      <alignment horizontal="center" vertical="center" wrapText="1"/>
      <protection locked="0" hidden="1"/>
    </xf>
    <xf numFmtId="164" fontId="4" fillId="0" borderId="1" xfId="0" applyNumberFormat="1" applyFont="1" applyBorder="1" applyAlignment="1" applyProtection="1">
      <alignment horizontal="center" vertical="center" wrapText="1"/>
      <protection locked="0" hidden="1"/>
    </xf>
    <xf numFmtId="164" fontId="5" fillId="0" borderId="1" xfId="0" applyNumberFormat="1" applyFont="1" applyBorder="1" applyAlignment="1" applyProtection="1">
      <alignment horizontal="center" vertical="center" wrapText="1"/>
      <protection locked="0" hidden="1"/>
    </xf>
    <xf numFmtId="164" fontId="36" fillId="0" borderId="1" xfId="0" applyNumberFormat="1" applyFont="1" applyBorder="1" applyAlignment="1" applyProtection="1">
      <alignment horizontal="right" vertical="center"/>
      <protection locked="0" hidden="1"/>
    </xf>
    <xf numFmtId="49" fontId="28" fillId="0" borderId="1" xfId="0" applyNumberFormat="1" applyFont="1" applyBorder="1" applyAlignment="1">
      <alignment horizontal="center" vertical="center" wrapText="1"/>
    </xf>
    <xf numFmtId="177" fontId="28" fillId="0" borderId="1" xfId="0" applyNumberFormat="1" applyFont="1" applyBorder="1" applyAlignment="1">
      <alignment horizontal="center" vertical="center" wrapText="1"/>
    </xf>
    <xf numFmtId="2" fontId="37" fillId="0" borderId="1" xfId="0" applyNumberFormat="1" applyFont="1" applyBorder="1" applyAlignment="1">
      <alignment horizontal="center" vertical="center"/>
    </xf>
    <xf numFmtId="177" fontId="37" fillId="0" borderId="1" xfId="0" applyNumberFormat="1" applyFont="1" applyBorder="1" applyAlignment="1">
      <alignment vertical="center"/>
    </xf>
    <xf numFmtId="170" fontId="35" fillId="0" borderId="1" xfId="0" applyNumberFormat="1" applyFont="1" applyBorder="1" applyAlignment="1">
      <alignment vertical="center"/>
    </xf>
    <xf numFmtId="177" fontId="30" fillId="0" borderId="1" xfId="0" applyNumberFormat="1" applyFont="1" applyBorder="1" applyAlignment="1">
      <alignment vertical="center"/>
    </xf>
    <xf numFmtId="2" fontId="37" fillId="0" borderId="1" xfId="0" applyNumberFormat="1" applyFont="1" applyBorder="1" applyAlignment="1">
      <alignment horizontal="center" vertical="center" wrapText="1"/>
    </xf>
    <xf numFmtId="177" fontId="37" fillId="0" borderId="1" xfId="0" applyNumberFormat="1" applyFont="1" applyBorder="1" applyAlignment="1">
      <alignment vertical="center" wrapText="1"/>
    </xf>
    <xf numFmtId="170" fontId="35" fillId="0" borderId="1" xfId="0" applyNumberFormat="1" applyFont="1" applyBorder="1" applyAlignment="1">
      <alignment vertical="center" wrapText="1"/>
    </xf>
    <xf numFmtId="170" fontId="28" fillId="0" borderId="1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vertical="center"/>
    </xf>
    <xf numFmtId="177" fontId="28" fillId="0" borderId="1" xfId="0" applyNumberFormat="1" applyFont="1" applyBorder="1" applyAlignment="1">
      <alignment vertical="center"/>
    </xf>
    <xf numFmtId="177" fontId="37" fillId="0" borderId="1" xfId="0" applyNumberFormat="1" applyFont="1" applyBorder="1" applyAlignment="1">
      <alignment horizontal="center" vertical="center"/>
    </xf>
    <xf numFmtId="170" fontId="30" fillId="0" borderId="1" xfId="0" applyNumberFormat="1" applyFont="1" applyBorder="1" applyAlignment="1">
      <alignment vertical="center"/>
    </xf>
    <xf numFmtId="170" fontId="35" fillId="0" borderId="1" xfId="0" applyNumberFormat="1" applyFont="1" applyBorder="1" applyAlignment="1">
      <alignment horizontal="center" vertical="center"/>
    </xf>
    <xf numFmtId="177" fontId="4" fillId="0" borderId="1" xfId="0" applyNumberFormat="1" applyFont="1" applyBorder="1" applyAlignment="1" applyProtection="1">
      <alignment vertical="center"/>
      <protection hidden="1"/>
    </xf>
    <xf numFmtId="177" fontId="5" fillId="0" borderId="0" xfId="0" applyNumberFormat="1" applyFont="1" applyAlignment="1" applyProtection="1">
      <alignment vertical="center"/>
      <protection hidden="1"/>
    </xf>
    <xf numFmtId="178" fontId="30" fillId="0" borderId="1" xfId="0" applyNumberFormat="1" applyFont="1" applyBorder="1" applyAlignment="1">
      <alignment horizontal="center" vertical="center"/>
    </xf>
    <xf numFmtId="170" fontId="37" fillId="0" borderId="1" xfId="0" applyNumberFormat="1" applyFont="1" applyBorder="1" applyAlignment="1">
      <alignment vertical="center"/>
    </xf>
    <xf numFmtId="2" fontId="38" fillId="0" borderId="1" xfId="0" applyNumberFormat="1" applyFont="1" applyBorder="1" applyAlignment="1">
      <alignment horizontal="center" vertical="center"/>
    </xf>
    <xf numFmtId="177" fontId="38" fillId="0" borderId="1" xfId="0" applyNumberFormat="1" applyFont="1" applyBorder="1" applyAlignment="1">
      <alignment vertical="center"/>
    </xf>
    <xf numFmtId="177" fontId="39" fillId="0" borderId="1" xfId="0" applyNumberFormat="1" applyFont="1" applyBorder="1" applyAlignment="1">
      <alignment horizontal="center" vertical="center"/>
    </xf>
    <xf numFmtId="0" fontId="28" fillId="2" borderId="25" xfId="0" applyFont="1" applyFill="1" applyBorder="1" applyAlignment="1">
      <alignment horizontal="center" vertical="center"/>
    </xf>
    <xf numFmtId="170" fontId="38" fillId="0" borderId="1" xfId="0" applyNumberFormat="1" applyFont="1" applyBorder="1" applyAlignment="1">
      <alignment vertical="center"/>
    </xf>
    <xf numFmtId="177" fontId="38" fillId="0" borderId="1" xfId="0" applyNumberFormat="1" applyFont="1" applyBorder="1" applyAlignment="1">
      <alignment horizontal="center" vertical="center"/>
    </xf>
    <xf numFmtId="0" fontId="40" fillId="2" borderId="1" xfId="0" applyFont="1" applyFill="1" applyBorder="1" applyAlignment="1">
      <alignment horizontal="center" vertical="center"/>
    </xf>
    <xf numFmtId="177" fontId="28" fillId="2" borderId="1" xfId="0" applyNumberFormat="1" applyFont="1" applyFill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2" fontId="30" fillId="0" borderId="8" xfId="0" applyNumberFormat="1" applyFont="1" applyBorder="1" applyAlignment="1">
      <alignment horizontal="center" vertical="center"/>
    </xf>
    <xf numFmtId="178" fontId="30" fillId="0" borderId="8" xfId="0" applyNumberFormat="1" applyFont="1" applyBorder="1" applyAlignment="1">
      <alignment horizontal="center" vertical="center"/>
    </xf>
    <xf numFmtId="177" fontId="28" fillId="0" borderId="8" xfId="0" applyNumberFormat="1" applyFont="1" applyBorder="1" applyAlignment="1">
      <alignment horizontal="center" vertical="center"/>
    </xf>
    <xf numFmtId="2" fontId="37" fillId="0" borderId="8" xfId="0" applyNumberFormat="1" applyFont="1" applyBorder="1" applyAlignment="1">
      <alignment horizontal="center" vertical="center"/>
    </xf>
    <xf numFmtId="177" fontId="37" fillId="0" borderId="8" xfId="0" applyNumberFormat="1" applyFont="1" applyBorder="1" applyAlignment="1">
      <alignment vertical="center"/>
    </xf>
    <xf numFmtId="177" fontId="30" fillId="0" borderId="8" xfId="0" applyNumberFormat="1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177" fontId="30" fillId="0" borderId="8" xfId="0" applyNumberFormat="1" applyFont="1" applyBorder="1" applyAlignment="1">
      <alignment vertical="center"/>
    </xf>
    <xf numFmtId="0" fontId="43" fillId="0" borderId="1" xfId="0" applyFont="1" applyBorder="1" applyAlignment="1">
      <alignment horizontal="center" vertical="center"/>
    </xf>
    <xf numFmtId="2" fontId="43" fillId="0" borderId="1" xfId="0" applyNumberFormat="1" applyFont="1" applyBorder="1" applyAlignment="1">
      <alignment horizontal="center" vertical="center"/>
    </xf>
    <xf numFmtId="4" fontId="4" fillId="0" borderId="8" xfId="0" applyNumberFormat="1" applyFont="1" applyBorder="1" applyAlignment="1" applyProtection="1">
      <alignment horizontal="center" vertical="center" wrapText="1"/>
      <protection locked="0" hidden="1"/>
    </xf>
    <xf numFmtId="177" fontId="4" fillId="0" borderId="8" xfId="0" applyNumberFormat="1" applyFont="1" applyBorder="1" applyAlignment="1" applyProtection="1">
      <alignment horizontal="center" vertical="center" wrapText="1"/>
      <protection locked="0" hidden="1"/>
    </xf>
    <xf numFmtId="177" fontId="5" fillId="0" borderId="8" xfId="0" applyNumberFormat="1" applyFont="1" applyBorder="1" applyAlignment="1" applyProtection="1">
      <alignment horizontal="center" vertical="center" wrapText="1"/>
      <protection locked="0" hidden="1"/>
    </xf>
    <xf numFmtId="164" fontId="4" fillId="0" borderId="8" xfId="0" applyNumberFormat="1" applyFont="1" applyBorder="1" applyAlignment="1" applyProtection="1">
      <alignment horizontal="center" vertical="center" wrapText="1"/>
      <protection hidden="1"/>
    </xf>
    <xf numFmtId="0" fontId="8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164" fontId="4" fillId="2" borderId="20" xfId="0" applyNumberFormat="1" applyFont="1" applyFill="1" applyBorder="1" applyAlignment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9" fontId="4" fillId="2" borderId="5" xfId="0" applyNumberFormat="1" applyFont="1" applyFill="1" applyBorder="1" applyAlignment="1">
      <alignment horizontal="center" vertical="center"/>
    </xf>
    <xf numFmtId="170" fontId="5" fillId="0" borderId="10" xfId="0" applyNumberFormat="1" applyFont="1" applyBorder="1" applyAlignment="1" applyProtection="1">
      <alignment vertical="center"/>
      <protection hidden="1"/>
    </xf>
    <xf numFmtId="170" fontId="4" fillId="0" borderId="0" xfId="0" applyNumberFormat="1" applyFont="1" applyAlignment="1" applyProtection="1">
      <alignment vertical="center"/>
      <protection hidden="1"/>
    </xf>
    <xf numFmtId="9" fontId="4" fillId="2" borderId="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8" borderId="8" xfId="0" applyFont="1" applyFill="1" applyBorder="1" applyAlignment="1" applyProtection="1">
      <alignment horizontal="center" vertical="center"/>
      <protection hidden="1"/>
    </xf>
    <xf numFmtId="172" fontId="8" fillId="8" borderId="8" xfId="0" applyNumberFormat="1" applyFont="1" applyFill="1" applyBorder="1" applyAlignment="1" applyProtection="1">
      <alignment horizontal="center" vertical="center"/>
      <protection hidden="1"/>
    </xf>
    <xf numFmtId="173" fontId="8" fillId="8" borderId="8" xfId="0" applyNumberFormat="1" applyFont="1" applyFill="1" applyBorder="1" applyAlignment="1" applyProtection="1">
      <alignment horizontal="center" vertical="center"/>
      <protection locked="0" hidden="1"/>
    </xf>
    <xf numFmtId="172" fontId="4" fillId="2" borderId="1" xfId="0" applyNumberFormat="1" applyFont="1" applyFill="1" applyBorder="1" applyAlignment="1">
      <alignment vertical="center"/>
    </xf>
    <xf numFmtId="0" fontId="7" fillId="0" borderId="8" xfId="0" applyFont="1" applyBorder="1" applyAlignment="1" applyProtection="1">
      <alignment horizontal="center" vertical="center"/>
      <protection hidden="1"/>
    </xf>
    <xf numFmtId="172" fontId="5" fillId="0" borderId="8" xfId="0" applyNumberFormat="1" applyFont="1" applyBorder="1" applyAlignment="1" applyProtection="1">
      <alignment horizontal="center" vertical="center"/>
      <protection hidden="1"/>
    </xf>
    <xf numFmtId="173" fontId="45" fillId="0" borderId="8" xfId="0" applyNumberFormat="1" applyFont="1" applyBorder="1" applyAlignment="1" applyProtection="1">
      <alignment horizontal="center" vertical="center"/>
      <protection locked="0" hidden="1"/>
    </xf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vertical="center"/>
    </xf>
    <xf numFmtId="10" fontId="5" fillId="0" borderId="8" xfId="0" applyNumberFormat="1" applyFont="1" applyBorder="1" applyAlignment="1" applyProtection="1">
      <alignment horizontal="center" vertical="center"/>
      <protection hidden="1"/>
    </xf>
    <xf numFmtId="0" fontId="4" fillId="2" borderId="21" xfId="0" applyFont="1" applyFill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5" fillId="0" borderId="10" xfId="0" applyFont="1" applyBorder="1" applyAlignment="1" applyProtection="1">
      <alignment vertical="center"/>
      <protection locked="0" hidden="1"/>
    </xf>
    <xf numFmtId="0" fontId="5" fillId="0" borderId="9" xfId="0" applyFont="1" applyBorder="1" applyAlignment="1" applyProtection="1">
      <alignment vertical="center"/>
      <protection locked="0" hidden="1"/>
    </xf>
    <xf numFmtId="0" fontId="7" fillId="0" borderId="21" xfId="0" applyFont="1" applyBorder="1" applyAlignment="1" applyProtection="1">
      <alignment vertical="center"/>
      <protection hidden="1"/>
    </xf>
    <xf numFmtId="167" fontId="7" fillId="0" borderId="0" xfId="0" applyNumberFormat="1" applyFont="1" applyAlignment="1" applyProtection="1">
      <alignment vertical="center"/>
      <protection hidden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2" fillId="0" borderId="0" xfId="0" applyFont="1" applyAlignment="1" applyProtection="1">
      <alignment vertical="center" wrapText="1"/>
      <protection hidden="1"/>
    </xf>
    <xf numFmtId="0" fontId="12" fillId="0" borderId="16" xfId="0" applyFont="1" applyBorder="1" applyAlignment="1" applyProtection="1">
      <alignment vertical="center" wrapText="1"/>
      <protection hidden="1"/>
    </xf>
    <xf numFmtId="0" fontId="12" fillId="0" borderId="21" xfId="0" applyFont="1" applyBorder="1" applyAlignment="1" applyProtection="1">
      <alignment vertical="center"/>
      <protection hidden="1"/>
    </xf>
    <xf numFmtId="0" fontId="12" fillId="2" borderId="0" xfId="0" applyFont="1" applyFill="1" applyAlignment="1">
      <alignment horizontal="right" vertical="center"/>
    </xf>
    <xf numFmtId="172" fontId="12" fillId="2" borderId="21" xfId="0" applyNumberFormat="1" applyFont="1" applyFill="1" applyBorder="1" applyAlignment="1">
      <alignment horizontal="left" vertical="center"/>
    </xf>
    <xf numFmtId="175" fontId="7" fillId="2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right" vertical="center"/>
    </xf>
    <xf numFmtId="1" fontId="12" fillId="0" borderId="0" xfId="0" applyNumberFormat="1" applyFont="1" applyAlignment="1" applyProtection="1">
      <alignment horizontal="center" vertical="center"/>
      <protection hidden="1"/>
    </xf>
    <xf numFmtId="0" fontId="12" fillId="0" borderId="0" xfId="0" applyFont="1" applyAlignment="1" applyProtection="1">
      <alignment vertical="center"/>
      <protection locked="0" hidden="1"/>
    </xf>
    <xf numFmtId="0" fontId="1" fillId="0" borderId="16" xfId="0" applyFont="1" applyBorder="1" applyAlignment="1" applyProtection="1">
      <alignment vertical="center"/>
      <protection hidden="1"/>
    </xf>
    <xf numFmtId="0" fontId="4" fillId="2" borderId="13" xfId="0" applyFont="1" applyFill="1" applyBorder="1" applyAlignment="1" applyProtection="1">
      <alignment horizontal="center" vertical="center"/>
      <protection hidden="1"/>
    </xf>
    <xf numFmtId="0" fontId="4" fillId="2" borderId="20" xfId="0" applyFont="1" applyFill="1" applyBorder="1" applyAlignment="1" applyProtection="1">
      <alignment horizontal="center" vertical="center"/>
      <protection hidden="1"/>
    </xf>
    <xf numFmtId="0" fontId="4" fillId="2" borderId="10" xfId="0" applyFont="1" applyFill="1" applyBorder="1" applyAlignment="1" applyProtection="1">
      <alignment horizontal="left" vertical="center"/>
      <protection hidden="1"/>
    </xf>
    <xf numFmtId="170" fontId="4" fillId="2" borderId="10" xfId="0" applyNumberFormat="1" applyFont="1" applyFill="1" applyBorder="1" applyAlignment="1" applyProtection="1">
      <alignment horizontal="center" vertical="center" wrapText="1"/>
      <protection locked="0" hidden="1"/>
    </xf>
    <xf numFmtId="0" fontId="12" fillId="8" borderId="8" xfId="0" applyFont="1" applyFill="1" applyBorder="1" applyAlignment="1">
      <alignment horizontal="center" vertical="center"/>
    </xf>
    <xf numFmtId="0" fontId="12" fillId="8" borderId="10" xfId="0" applyFont="1" applyFill="1" applyBorder="1" applyAlignment="1">
      <alignment horizontal="right" vertical="center"/>
    </xf>
    <xf numFmtId="0" fontId="12" fillId="8" borderId="10" xfId="0" applyFont="1" applyFill="1" applyBorder="1" applyAlignment="1" applyProtection="1">
      <alignment horizontal="left" vertical="center"/>
      <protection hidden="1"/>
    </xf>
    <xf numFmtId="0" fontId="12" fillId="8" borderId="10" xfId="0" applyFont="1" applyFill="1" applyBorder="1" applyAlignment="1" applyProtection="1">
      <alignment vertical="center"/>
      <protection hidden="1"/>
    </xf>
    <xf numFmtId="0" fontId="12" fillId="8" borderId="10" xfId="0" applyFont="1" applyFill="1" applyBorder="1" applyAlignment="1" applyProtection="1">
      <alignment horizontal="center" vertical="center"/>
      <protection hidden="1"/>
    </xf>
    <xf numFmtId="1" fontId="12" fillId="8" borderId="10" xfId="0" applyNumberFormat="1" applyFont="1" applyFill="1" applyBorder="1" applyAlignment="1" applyProtection="1">
      <alignment horizontal="center" vertical="center"/>
      <protection hidden="1"/>
    </xf>
    <xf numFmtId="0" fontId="12" fillId="8" borderId="10" xfId="0" applyFont="1" applyFill="1" applyBorder="1" applyAlignment="1" applyProtection="1">
      <alignment horizontal="right" vertical="center"/>
      <protection hidden="1"/>
    </xf>
    <xf numFmtId="0" fontId="12" fillId="8" borderId="0" xfId="0" applyFont="1" applyFill="1" applyAlignment="1" applyProtection="1">
      <alignment vertical="center"/>
      <protection hidden="1"/>
    </xf>
    <xf numFmtId="0" fontId="12" fillId="8" borderId="16" xfId="0" applyFont="1" applyFill="1" applyBorder="1" applyAlignment="1" applyProtection="1">
      <alignment vertical="center"/>
      <protection hidden="1"/>
    </xf>
    <xf numFmtId="0" fontId="5" fillId="0" borderId="0" xfId="0" applyFont="1" applyAlignment="1" applyProtection="1">
      <alignment horizontal="left" vertical="center" wrapText="1"/>
      <protection hidden="1"/>
    </xf>
    <xf numFmtId="0" fontId="46" fillId="0" borderId="0" xfId="0" applyFont="1" applyAlignment="1" applyProtection="1">
      <alignment horizontal="left" vertical="center" wrapText="1"/>
      <protection hidden="1"/>
    </xf>
    <xf numFmtId="173" fontId="1" fillId="0" borderId="0" xfId="0" applyNumberFormat="1" applyFont="1" applyAlignment="1" applyProtection="1">
      <alignment vertical="center"/>
      <protection hidden="1"/>
    </xf>
    <xf numFmtId="0" fontId="48" fillId="11" borderId="1" xfId="0" applyFont="1" applyFill="1" applyBorder="1" applyAlignment="1">
      <alignment horizontal="center" vertical="center" wrapText="1"/>
    </xf>
    <xf numFmtId="0" fontId="49" fillId="0" borderId="1" xfId="0" applyFont="1" applyBorder="1" applyAlignment="1">
      <alignment horizontal="center" vertical="center"/>
    </xf>
    <xf numFmtId="0" fontId="49" fillId="0" borderId="1" xfId="0" applyFont="1" applyBorder="1" applyAlignment="1">
      <alignment horizontal="left" vertical="center" wrapText="1"/>
    </xf>
    <xf numFmtId="177" fontId="49" fillId="0" borderId="1" xfId="0" applyNumberFormat="1" applyFont="1" applyBorder="1" applyAlignment="1">
      <alignment horizontal="right" vertical="center"/>
    </xf>
    <xf numFmtId="0" fontId="48" fillId="0" borderId="1" xfId="0" applyFont="1" applyBorder="1" applyAlignment="1">
      <alignment horizontal="right"/>
    </xf>
    <xf numFmtId="177" fontId="48" fillId="0" borderId="1" xfId="0" applyNumberFormat="1" applyFont="1" applyBorder="1" applyAlignment="1">
      <alignment horizontal="right"/>
    </xf>
    <xf numFmtId="49" fontId="12" fillId="0" borderId="15" xfId="0" applyNumberFormat="1" applyFont="1" applyBorder="1" applyAlignment="1" applyProtection="1">
      <alignment horizontal="center" vertical="center" wrapText="1"/>
      <protection locked="0" hidden="1"/>
    </xf>
    <xf numFmtId="49" fontId="12" fillId="0" borderId="17" xfId="0" applyNumberFormat="1" applyFont="1" applyBorder="1" applyAlignment="1" applyProtection="1">
      <alignment horizontal="center" vertical="center" wrapText="1"/>
      <protection locked="0" hidden="1"/>
    </xf>
    <xf numFmtId="166" fontId="4" fillId="2" borderId="14" xfId="0" applyNumberFormat="1" applyFont="1" applyFill="1" applyBorder="1" applyAlignment="1" applyProtection="1">
      <alignment horizontal="left" vertical="center"/>
      <protection hidden="1"/>
    </xf>
    <xf numFmtId="166" fontId="4" fillId="2" borderId="18" xfId="0" applyNumberFormat="1" applyFont="1" applyFill="1" applyBorder="1" applyAlignment="1" applyProtection="1">
      <alignment horizontal="right" vertical="center"/>
      <protection hidden="1"/>
    </xf>
    <xf numFmtId="166" fontId="13" fillId="0" borderId="18" xfId="0" applyNumberFormat="1" applyFont="1" applyBorder="1" applyAlignment="1" applyProtection="1">
      <alignment horizontal="center" vertical="center"/>
      <protection locked="0" hidden="1"/>
    </xf>
    <xf numFmtId="166" fontId="11" fillId="4" borderId="8" xfId="0" applyNumberFormat="1" applyFont="1" applyFill="1" applyBorder="1" applyAlignment="1" applyProtection="1">
      <alignment horizontal="center" vertical="center" wrapText="1"/>
      <protection hidden="1"/>
    </xf>
    <xf numFmtId="0" fontId="15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 applyProtection="1">
      <alignment horizontal="center" vertical="center" wrapText="1"/>
      <protection locked="0" hidden="1"/>
    </xf>
    <xf numFmtId="0" fontId="11" fillId="3" borderId="13" xfId="0" applyFont="1" applyFill="1" applyBorder="1" applyAlignment="1">
      <alignment horizontal="center" vertical="center"/>
    </xf>
    <xf numFmtId="0" fontId="10" fillId="0" borderId="13" xfId="0" applyFont="1" applyBorder="1" applyAlignment="1" applyProtection="1">
      <alignment horizontal="left" vertical="center"/>
      <protection hidden="1"/>
    </xf>
    <xf numFmtId="170" fontId="17" fillId="2" borderId="1" xfId="0" applyNumberFormat="1" applyFont="1" applyFill="1" applyBorder="1" applyAlignment="1" applyProtection="1">
      <alignment horizontal="center" vertical="center" wrapText="1"/>
      <protection hidden="1"/>
    </xf>
    <xf numFmtId="4" fontId="17" fillId="0" borderId="1" xfId="0" applyNumberFormat="1" applyFont="1" applyBorder="1" applyAlignment="1" applyProtection="1">
      <alignment horizontal="center" vertical="center"/>
      <protection hidden="1"/>
    </xf>
    <xf numFmtId="170" fontId="17" fillId="2" borderId="20" xfId="0" applyNumberFormat="1" applyFont="1" applyFill="1" applyBorder="1" applyAlignment="1" applyProtection="1">
      <alignment horizontal="center" vertical="center"/>
      <protection hidden="1"/>
    </xf>
    <xf numFmtId="0" fontId="10" fillId="0" borderId="11" xfId="0" applyFont="1" applyBorder="1" applyAlignment="1" applyProtection="1">
      <alignment horizontal="left" vertical="center"/>
      <protection hidden="1"/>
    </xf>
    <xf numFmtId="10" fontId="10" fillId="2" borderId="1" xfId="0" applyNumberFormat="1" applyFont="1" applyFill="1" applyBorder="1" applyAlignment="1" applyProtection="1">
      <alignment horizontal="center" vertical="center"/>
      <protection locked="0" hidden="1"/>
    </xf>
    <xf numFmtId="0" fontId="10" fillId="0" borderId="0" xfId="0" applyFont="1" applyBorder="1" applyAlignment="1" applyProtection="1">
      <alignment horizontal="center" vertical="center"/>
      <protection hidden="1"/>
    </xf>
    <xf numFmtId="0" fontId="10" fillId="2" borderId="11" xfId="0" applyFont="1" applyFill="1" applyBorder="1" applyAlignment="1" applyProtection="1">
      <alignment horizontal="left" vertical="center"/>
      <protection hidden="1"/>
    </xf>
    <xf numFmtId="170" fontId="17" fillId="0" borderId="1" xfId="0" applyNumberFormat="1" applyFont="1" applyBorder="1" applyAlignment="1" applyProtection="1">
      <alignment horizontal="center" vertical="center" wrapText="1"/>
      <protection hidden="1"/>
    </xf>
    <xf numFmtId="170" fontId="19" fillId="0" borderId="13" xfId="0" applyNumberFormat="1" applyFont="1" applyBorder="1" applyAlignment="1" applyProtection="1">
      <alignment horizontal="center" vertical="center"/>
      <protection hidden="1"/>
    </xf>
    <xf numFmtId="170" fontId="19" fillId="0" borderId="1" xfId="0" applyNumberFormat="1" applyFont="1" applyBorder="1" applyAlignment="1" applyProtection="1">
      <alignment horizontal="center" vertical="center" wrapText="1"/>
      <protection hidden="1"/>
    </xf>
    <xf numFmtId="170" fontId="17" fillId="2" borderId="1" xfId="0" applyNumberFormat="1" applyFont="1" applyFill="1" applyBorder="1" applyAlignment="1" applyProtection="1">
      <alignment horizontal="center" vertical="center"/>
      <protection hidden="1"/>
    </xf>
    <xf numFmtId="170" fontId="10" fillId="0" borderId="0" xfId="0" applyNumberFormat="1" applyFont="1" applyBorder="1" applyAlignment="1" applyProtection="1">
      <alignment horizontal="center" vertical="center"/>
      <protection hidden="1"/>
    </xf>
    <xf numFmtId="174" fontId="10" fillId="2" borderId="1" xfId="0" applyNumberFormat="1" applyFont="1" applyFill="1" applyBorder="1" applyAlignment="1" applyProtection="1">
      <alignment horizontal="center" vertical="center" wrapText="1"/>
      <protection locked="0" hidden="1"/>
    </xf>
    <xf numFmtId="49" fontId="10" fillId="2" borderId="1" xfId="0" applyNumberFormat="1" applyFont="1" applyFill="1" applyBorder="1" applyAlignment="1" applyProtection="1">
      <alignment horizontal="center" vertical="center" wrapText="1"/>
      <protection locked="0" hidden="1"/>
    </xf>
    <xf numFmtId="0" fontId="19" fillId="0" borderId="1" xfId="0" applyFont="1" applyBorder="1" applyAlignment="1" applyProtection="1">
      <alignment horizontal="center" vertical="center"/>
      <protection hidden="1"/>
    </xf>
    <xf numFmtId="0" fontId="17" fillId="0" borderId="1" xfId="0" applyFont="1" applyBorder="1" applyAlignment="1" applyProtection="1">
      <alignment horizontal="center" vertical="center"/>
      <protection locked="0" hidden="1"/>
    </xf>
    <xf numFmtId="170" fontId="10" fillId="2" borderId="1" xfId="0" applyNumberFormat="1" applyFont="1" applyFill="1" applyBorder="1" applyAlignment="1" applyProtection="1">
      <alignment horizontal="center" vertical="center" wrapText="1"/>
      <protection locked="0" hidden="1"/>
    </xf>
    <xf numFmtId="170" fontId="17" fillId="2" borderId="1" xfId="0" applyNumberFormat="1" applyFont="1" applyFill="1" applyBorder="1" applyAlignment="1" applyProtection="1">
      <alignment horizontal="center" vertical="center" wrapText="1"/>
      <protection locked="0" hidden="1"/>
    </xf>
    <xf numFmtId="0" fontId="10" fillId="2" borderId="20" xfId="0" applyFont="1" applyFill="1" applyBorder="1" applyAlignment="1" applyProtection="1">
      <alignment horizontal="left" vertical="center"/>
      <protection hidden="1"/>
    </xf>
    <xf numFmtId="1" fontId="17" fillId="0" borderId="1" xfId="0" applyNumberFormat="1" applyFont="1" applyBorder="1" applyAlignment="1" applyProtection="1">
      <alignment horizontal="center" vertical="center" wrapText="1"/>
      <protection locked="0" hidden="1"/>
    </xf>
    <xf numFmtId="170" fontId="24" fillId="2" borderId="1" xfId="0" applyNumberFormat="1" applyFont="1" applyFill="1" applyBorder="1" applyAlignment="1" applyProtection="1">
      <alignment horizontal="center" vertical="center"/>
      <protection hidden="1"/>
    </xf>
    <xf numFmtId="0" fontId="12" fillId="0" borderId="8" xfId="0" applyFont="1" applyBorder="1" applyAlignment="1" applyProtection="1">
      <alignment horizontal="center" vertical="center"/>
      <protection hidden="1"/>
    </xf>
    <xf numFmtId="0" fontId="26" fillId="0" borderId="0" xfId="0" applyFont="1" applyBorder="1" applyAlignment="1" applyProtection="1">
      <alignment horizontal="left" vertical="center"/>
      <protection hidden="1"/>
    </xf>
    <xf numFmtId="0" fontId="3" fillId="2" borderId="6" xfId="0" applyFont="1" applyFill="1" applyBorder="1" applyAlignment="1" applyProtection="1">
      <alignment horizontal="center" vertical="center"/>
      <protection hidden="1"/>
    </xf>
    <xf numFmtId="166" fontId="8" fillId="7" borderId="6" xfId="0" applyNumberFormat="1" applyFont="1" applyFill="1" applyBorder="1" applyAlignment="1" applyProtection="1">
      <alignment horizontal="center" vertical="center"/>
      <protection hidden="1"/>
    </xf>
    <xf numFmtId="166" fontId="27" fillId="8" borderId="9" xfId="0" applyNumberFormat="1" applyFont="1" applyFill="1" applyBorder="1" applyAlignment="1" applyProtection="1">
      <alignment horizontal="center" vertical="center" wrapText="1"/>
      <protection hidden="1"/>
    </xf>
    <xf numFmtId="169" fontId="5" fillId="2" borderId="1" xfId="0" applyNumberFormat="1" applyFont="1" applyFill="1" applyBorder="1" applyAlignment="1" applyProtection="1">
      <alignment horizontal="center" vertical="center" wrapText="1"/>
      <protection locked="0" hidden="1"/>
    </xf>
    <xf numFmtId="166" fontId="8" fillId="8" borderId="1" xfId="0" applyNumberFormat="1" applyFont="1" applyFill="1" applyBorder="1" applyAlignment="1" applyProtection="1">
      <alignment horizontal="center" vertical="center"/>
      <protection hidden="1"/>
    </xf>
    <xf numFmtId="0" fontId="27" fillId="8" borderId="1" xfId="0" applyFont="1" applyFill="1" applyBorder="1" applyAlignment="1" applyProtection="1">
      <alignment horizontal="center" vertical="center"/>
      <protection hidden="1"/>
    </xf>
    <xf numFmtId="166" fontId="8" fillId="8" borderId="5" xfId="0" applyNumberFormat="1" applyFont="1" applyFill="1" applyBorder="1" applyAlignment="1" applyProtection="1">
      <alignment horizontal="center" vertical="center"/>
      <protection hidden="1"/>
    </xf>
    <xf numFmtId="166" fontId="5" fillId="0" borderId="2" xfId="0" applyNumberFormat="1" applyFont="1" applyBorder="1" applyAlignment="1" applyProtection="1">
      <alignment horizontal="center" vertical="center" wrapText="1"/>
      <protection locked="0" hidden="1"/>
    </xf>
    <xf numFmtId="166" fontId="28" fillId="2" borderId="12" xfId="0" applyNumberFormat="1" applyFont="1" applyFill="1" applyBorder="1" applyAlignment="1" applyProtection="1">
      <alignment horizontal="center" vertical="center" wrapText="1"/>
      <protection locked="0" hidden="1"/>
    </xf>
    <xf numFmtId="166" fontId="29" fillId="2" borderId="12" xfId="0" applyNumberFormat="1" applyFont="1" applyFill="1" applyBorder="1" applyAlignment="1" applyProtection="1">
      <alignment horizontal="center" vertical="center" wrapText="1"/>
      <protection locked="0" hidden="1"/>
    </xf>
    <xf numFmtId="0" fontId="27" fillId="8" borderId="13" xfId="0" applyFont="1" applyFill="1" applyBorder="1" applyAlignment="1" applyProtection="1">
      <alignment horizontal="center" vertical="center" wrapText="1"/>
      <protection hidden="1"/>
    </xf>
    <xf numFmtId="0" fontId="27" fillId="8" borderId="1" xfId="0" applyFont="1" applyFill="1" applyBorder="1" applyAlignment="1" applyProtection="1">
      <alignment horizontal="center" vertical="center" wrapText="1"/>
      <protection hidden="1"/>
    </xf>
    <xf numFmtId="0" fontId="27" fillId="7" borderId="13" xfId="0" applyFont="1" applyFill="1" applyBorder="1" applyAlignment="1" applyProtection="1">
      <alignment horizontal="center" vertical="center" wrapText="1"/>
      <protection hidden="1"/>
    </xf>
    <xf numFmtId="168" fontId="27" fillId="8" borderId="8" xfId="0" applyNumberFormat="1" applyFont="1" applyFill="1" applyBorder="1" applyAlignment="1" applyProtection="1">
      <alignment horizontal="center" vertical="center" wrapText="1"/>
      <protection hidden="1"/>
    </xf>
    <xf numFmtId="166" fontId="4" fillId="0" borderId="21" xfId="0" applyNumberFormat="1" applyFont="1" applyBorder="1" applyAlignment="1" applyProtection="1">
      <alignment horizontal="center" vertical="center" wrapText="1"/>
      <protection locked="0" hidden="1"/>
    </xf>
    <xf numFmtId="166" fontId="30" fillId="2" borderId="15" xfId="0" applyNumberFormat="1" applyFont="1" applyFill="1" applyBorder="1" applyAlignment="1" applyProtection="1">
      <alignment horizontal="center" vertical="center" wrapText="1"/>
      <protection locked="0" hidden="1"/>
    </xf>
    <xf numFmtId="166" fontId="31" fillId="2" borderId="15" xfId="0" applyNumberFormat="1" applyFont="1" applyFill="1" applyBorder="1" applyAlignment="1" applyProtection="1">
      <alignment horizontal="center" vertical="center" wrapText="1"/>
      <protection locked="0" hidden="1"/>
    </xf>
    <xf numFmtId="49" fontId="30" fillId="2" borderId="15" xfId="0" applyNumberFormat="1" applyFont="1" applyFill="1" applyBorder="1" applyAlignment="1" applyProtection="1">
      <alignment horizontal="center" vertical="center" wrapText="1"/>
      <protection locked="0" hidden="1"/>
    </xf>
    <xf numFmtId="49" fontId="31" fillId="2" borderId="15" xfId="0" applyNumberFormat="1" applyFont="1" applyFill="1" applyBorder="1" applyAlignment="1" applyProtection="1">
      <alignment horizontal="center" vertical="center" wrapText="1"/>
      <protection locked="0" hidden="1"/>
    </xf>
    <xf numFmtId="49" fontId="30" fillId="2" borderId="22" xfId="0" applyNumberFormat="1" applyFont="1" applyFill="1" applyBorder="1" applyAlignment="1" applyProtection="1">
      <alignment horizontal="center" vertical="center" wrapText="1"/>
      <protection locked="0" hidden="1"/>
    </xf>
    <xf numFmtId="49" fontId="31" fillId="2" borderId="22" xfId="0" applyNumberFormat="1" applyFont="1" applyFill="1" applyBorder="1" applyAlignment="1" applyProtection="1">
      <alignment horizontal="center" vertical="center" wrapText="1"/>
      <protection locked="0" hidden="1"/>
    </xf>
    <xf numFmtId="166" fontId="32" fillId="2" borderId="23" xfId="0" applyNumberFormat="1" applyFont="1" applyFill="1" applyBorder="1" applyAlignment="1" applyProtection="1">
      <alignment horizontal="center" vertical="center" wrapText="1"/>
      <protection locked="0" hidden="1"/>
    </xf>
    <xf numFmtId="166" fontId="33" fillId="2" borderId="18" xfId="0" applyNumberFormat="1" applyFont="1" applyFill="1" applyBorder="1" applyAlignment="1" applyProtection="1">
      <alignment horizontal="center" vertical="center" wrapText="1"/>
      <protection locked="0" hidden="1"/>
    </xf>
    <xf numFmtId="166" fontId="8" fillId="9" borderId="8" xfId="0" applyNumberFormat="1" applyFont="1" applyFill="1" applyBorder="1" applyAlignment="1" applyProtection="1">
      <alignment horizontal="center" vertical="center" wrapText="1"/>
      <protection hidden="1"/>
    </xf>
    <xf numFmtId="0" fontId="30" fillId="0" borderId="24" xfId="0" applyFont="1" applyBorder="1" applyAlignment="1">
      <alignment horizontal="center" vertical="center" wrapText="1"/>
    </xf>
    <xf numFmtId="2" fontId="28" fillId="0" borderId="1" xfId="0" applyNumberFormat="1" applyFont="1" applyBorder="1" applyAlignment="1">
      <alignment horizontal="center" vertical="center"/>
    </xf>
    <xf numFmtId="177" fontId="28" fillId="0" borderId="1" xfId="0" applyNumberFormat="1" applyFont="1" applyBorder="1" applyAlignment="1">
      <alignment horizontal="center" vertical="center"/>
    </xf>
    <xf numFmtId="2" fontId="35" fillId="0" borderId="1" xfId="0" applyNumberFormat="1" applyFont="1" applyBorder="1" applyAlignment="1">
      <alignment horizontal="center" vertical="center"/>
    </xf>
    <xf numFmtId="2" fontId="30" fillId="0" borderId="1" xfId="0" applyNumberFormat="1" applyFont="1" applyBorder="1" applyAlignment="1">
      <alignment horizontal="center" vertical="center"/>
    </xf>
    <xf numFmtId="177" fontId="30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 applyProtection="1">
      <alignment horizontal="center" vertical="center"/>
      <protection hidden="1"/>
    </xf>
    <xf numFmtId="0" fontId="30" fillId="0" borderId="13" xfId="0" applyFont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42" fillId="0" borderId="1" xfId="0" applyFont="1" applyBorder="1" applyAlignment="1">
      <alignment horizontal="center" vertical="top" wrapText="1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/>
    </xf>
    <xf numFmtId="0" fontId="44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 applyProtection="1">
      <alignment horizontal="center" vertical="center" wrapText="1"/>
      <protection hidden="1"/>
    </xf>
    <xf numFmtId="4" fontId="5" fillId="0" borderId="1" xfId="0" applyNumberFormat="1" applyFont="1" applyBorder="1" applyAlignment="1" applyProtection="1">
      <alignment horizontal="center" vertical="center"/>
      <protection hidden="1"/>
    </xf>
    <xf numFmtId="177" fontId="5" fillId="0" borderId="1" xfId="0" applyNumberFormat="1" applyFont="1" applyBorder="1" applyAlignment="1" applyProtection="1">
      <alignment horizontal="center" vertical="center"/>
      <protection hidden="1"/>
    </xf>
    <xf numFmtId="164" fontId="12" fillId="0" borderId="1" xfId="0" applyNumberFormat="1" applyFont="1" applyBorder="1" applyAlignment="1" applyProtection="1">
      <alignment horizontal="center" vertical="center" wrapText="1"/>
      <protection hidden="1"/>
    </xf>
    <xf numFmtId="2" fontId="8" fillId="8" borderId="1" xfId="0" applyNumberFormat="1" applyFont="1" applyFill="1" applyBorder="1" applyAlignment="1">
      <alignment horizontal="center" vertical="center"/>
    </xf>
    <xf numFmtId="0" fontId="4" fillId="0" borderId="0" xfId="0" applyFont="1" applyBorder="1" applyAlignment="1" applyProtection="1">
      <alignment horizontal="center" vertical="center"/>
      <protection hidden="1"/>
    </xf>
    <xf numFmtId="166" fontId="5" fillId="2" borderId="1" xfId="0" applyNumberFormat="1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177" fontId="5" fillId="10" borderId="1" xfId="0" applyNumberFormat="1" applyFont="1" applyFill="1" applyBorder="1" applyAlignment="1" applyProtection="1">
      <alignment horizontal="center" vertical="center"/>
      <protection hidden="1"/>
    </xf>
    <xf numFmtId="170" fontId="5" fillId="0" borderId="1" xfId="0" applyNumberFormat="1" applyFont="1" applyBorder="1" applyAlignment="1" applyProtection="1">
      <alignment horizontal="center" vertical="center"/>
      <protection hidden="1"/>
    </xf>
    <xf numFmtId="170" fontId="5" fillId="0" borderId="1" xfId="0" applyNumberFormat="1" applyFont="1" applyBorder="1" applyAlignment="1" applyProtection="1">
      <alignment horizontal="center" vertical="center" wrapText="1"/>
      <protection hidden="1"/>
    </xf>
    <xf numFmtId="177" fontId="5" fillId="2" borderId="1" xfId="0" applyNumberFormat="1" applyFont="1" applyFill="1" applyBorder="1" applyAlignment="1" applyProtection="1">
      <alignment horizontal="center" vertical="center"/>
      <protection hidden="1"/>
    </xf>
    <xf numFmtId="170" fontId="4" fillId="0" borderId="0" xfId="0" applyNumberFormat="1" applyFont="1" applyBorder="1" applyAlignment="1" applyProtection="1">
      <alignment horizontal="center" vertical="center"/>
      <protection hidden="1"/>
    </xf>
    <xf numFmtId="0" fontId="4" fillId="2" borderId="1" xfId="0" applyFont="1" applyFill="1" applyBorder="1" applyAlignment="1" applyProtection="1">
      <alignment horizontal="center" vertical="center"/>
      <protection hidden="1"/>
    </xf>
    <xf numFmtId="0" fontId="4" fillId="2" borderId="1" xfId="0" applyFont="1" applyFill="1" applyBorder="1" applyAlignment="1" applyProtection="1">
      <alignment horizontal="center" vertical="center" wrapText="1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0" borderId="8" xfId="0" applyFont="1" applyBorder="1" applyAlignment="1" applyProtection="1">
      <alignment horizontal="center" vertical="center"/>
      <protection locked="0" hidden="1"/>
    </xf>
    <xf numFmtId="167" fontId="4" fillId="2" borderId="1" xfId="0" applyNumberFormat="1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Alignment="1">
      <alignment horizontal="center" vertical="center"/>
    </xf>
    <xf numFmtId="0" fontId="4" fillId="2" borderId="13" xfId="0" applyFont="1" applyFill="1" applyBorder="1" applyAlignment="1" applyProtection="1">
      <alignment horizontal="center" vertical="center"/>
      <protection hidden="1"/>
    </xf>
    <xf numFmtId="0" fontId="4" fillId="2" borderId="13" xfId="0" applyFont="1" applyFill="1" applyBorder="1" applyAlignment="1" applyProtection="1">
      <alignment horizontal="left" vertical="center"/>
      <protection hidden="1"/>
    </xf>
    <xf numFmtId="0" fontId="4" fillId="2" borderId="20" xfId="0" applyFont="1" applyFill="1" applyBorder="1" applyAlignment="1" applyProtection="1">
      <alignment horizontal="center" vertical="center"/>
      <protection hidden="1"/>
    </xf>
    <xf numFmtId="0" fontId="4" fillId="2" borderId="20" xfId="0" applyFont="1" applyFill="1" applyBorder="1" applyAlignment="1" applyProtection="1">
      <alignment horizontal="left" vertical="center"/>
      <protection hidden="1"/>
    </xf>
    <xf numFmtId="0" fontId="5" fillId="0" borderId="12" xfId="0" applyFont="1" applyBorder="1" applyAlignment="1" applyProtection="1">
      <alignment horizontal="left" vertical="center" wrapText="1"/>
      <protection hidden="1"/>
    </xf>
    <xf numFmtId="0" fontId="46" fillId="0" borderId="26" xfId="0" applyFont="1" applyBorder="1" applyAlignment="1" applyProtection="1">
      <alignment horizontal="center" vertical="center" wrapText="1"/>
      <protection hidden="1"/>
    </xf>
    <xf numFmtId="0" fontId="5" fillId="0" borderId="18" xfId="0" applyFont="1" applyBorder="1" applyAlignment="1" applyProtection="1">
      <alignment horizontal="left" vertical="center" wrapText="1"/>
      <protection hidden="1"/>
    </xf>
    <xf numFmtId="0" fontId="47" fillId="4" borderId="0" xfId="0" applyFont="1" applyFill="1" applyBorder="1" applyAlignment="1">
      <alignment horizontal="left" vertical="center"/>
    </xf>
    <xf numFmtId="0" fontId="50" fillId="0" borderId="0" xfId="0" applyFont="1" applyBorder="1" applyAlignment="1">
      <alignment vertical="top" wrapText="1"/>
    </xf>
  </cellXfs>
  <cellStyles count="20">
    <cellStyle name="Moeda 2" xfId="1"/>
    <cellStyle name="Moeda 2 2" xfId="2"/>
    <cellStyle name="Moeda 3" xfId="3"/>
    <cellStyle name="Normal" xfId="0" builtinId="0"/>
    <cellStyle name="Normal 138" xfId="4"/>
    <cellStyle name="Normal 2" xfId="5"/>
    <cellStyle name="Normal 41" xfId="6"/>
    <cellStyle name="Vírgula 2" xfId="7"/>
    <cellStyle name="Vírgula 2 2" xfId="8"/>
    <cellStyle name="Vírgula 2 2 2" xfId="9"/>
    <cellStyle name="Vírgula 2 2 2 2" xfId="10"/>
    <cellStyle name="Vírgula 2 2 3" xfId="11"/>
    <cellStyle name="Vírgula 2 3" xfId="12"/>
    <cellStyle name="Vírgula 2 3 2" xfId="13"/>
    <cellStyle name="Vírgula 2 3 2 2" xfId="14"/>
    <cellStyle name="Vírgula 2 3 3" xfId="15"/>
    <cellStyle name="Vírgula 2 4" xfId="16"/>
    <cellStyle name="Vírgula 2 4 2" xfId="17"/>
    <cellStyle name="Vírgula 2 5" xfId="18"/>
    <cellStyle name="Vírgula 3" xfId="19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D4"/>
      <rgbColor rgb="FFFFFF00"/>
      <rgbColor rgb="FFFF00FF"/>
      <rgbColor rgb="FF00FFFF"/>
      <rgbColor rgb="FFC00000"/>
      <rgbColor rgb="FF008000"/>
      <rgbColor rgb="FF000080"/>
      <rgbColor rgb="FFB8860B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17375E"/>
      <rgbColor rgb="FF00B050"/>
      <rgbColor rgb="FF003300"/>
      <rgbColor rgb="FF333300"/>
      <rgbColor rgb="FFDD0806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190440</xdr:colOff>
      <xdr:row>0</xdr:row>
      <xdr:rowOff>57240</xdr:rowOff>
    </xdr:from>
    <xdr:to>
      <xdr:col>2</xdr:col>
      <xdr:colOff>112320</xdr:colOff>
      <xdr:row>1</xdr:row>
      <xdr:rowOff>741240</xdr:rowOff>
    </xdr:to>
    <xdr:pic>
      <xdr:nvPicPr>
        <xdr:cNvPr id="2" name="Picture 3"/>
        <xdr:cNvPicPr/>
      </xdr:nvPicPr>
      <xdr:blipFill>
        <a:blip xmlns:r="http://schemas.openxmlformats.org/officeDocument/2006/relationships" r:embed="rId1"/>
        <a:stretch/>
      </xdr:blipFill>
      <xdr:spPr>
        <a:xfrm>
          <a:off x="190440" y="57240"/>
          <a:ext cx="3295080" cy="1083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200160</xdr:colOff>
      <xdr:row>0</xdr:row>
      <xdr:rowOff>190440</xdr:rowOff>
    </xdr:from>
    <xdr:to>
      <xdr:col>3</xdr:col>
      <xdr:colOff>1798560</xdr:colOff>
      <xdr:row>1</xdr:row>
      <xdr:rowOff>664920</xdr:rowOff>
    </xdr:to>
    <xdr:pic>
      <xdr:nvPicPr>
        <xdr:cNvPr id="3" name="Imagem 2" descr="novo-logo-wzarzur-300x195.jpg"/>
        <xdr:cNvPicPr/>
      </xdr:nvPicPr>
      <xdr:blipFill>
        <a:blip xmlns:r="http://schemas.openxmlformats.org/officeDocument/2006/relationships" r:embed="rId2"/>
        <a:srcRect t="52743"/>
        <a:stretch/>
      </xdr:blipFill>
      <xdr:spPr>
        <a:xfrm>
          <a:off x="3573360" y="190440"/>
          <a:ext cx="2937600" cy="874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598320</xdr:colOff>
      <xdr:row>2</xdr:row>
      <xdr:rowOff>179280</xdr:rowOff>
    </xdr:to>
    <xdr:pic>
      <xdr:nvPicPr>
        <xdr:cNvPr id="2" name="Imagem 2"/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5551920" cy="1198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41</xdr:col>
      <xdr:colOff>781200</xdr:colOff>
      <xdr:row>0</xdr:row>
      <xdr:rowOff>0</xdr:rowOff>
    </xdr:from>
    <xdr:to>
      <xdr:col>42</xdr:col>
      <xdr:colOff>1617480</xdr:colOff>
      <xdr:row>2</xdr:row>
      <xdr:rowOff>183960</xdr:rowOff>
    </xdr:to>
    <xdr:pic>
      <xdr:nvPicPr>
        <xdr:cNvPr id="3" name="Imagem 4"/>
        <xdr:cNvPicPr/>
      </xdr:nvPicPr>
      <xdr:blipFill>
        <a:blip xmlns:r="http://schemas.openxmlformats.org/officeDocument/2006/relationships" r:embed="rId2"/>
        <a:stretch/>
      </xdr:blipFill>
      <xdr:spPr>
        <a:xfrm>
          <a:off x="87384240" y="0"/>
          <a:ext cx="2910240" cy="12031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arol@atlantanet.com.br" TargetMode="External"/><Relationship Id="rId2" Type="http://schemas.openxmlformats.org/officeDocument/2006/relationships/hyperlink" Target="mailto:felipe.volpi@solucaomadeiras.com.br" TargetMode="External"/><Relationship Id="rId1" Type="http://schemas.openxmlformats.org/officeDocument/2006/relationships/hyperlink" Target="mailto:wilton@grupocda.com.br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robson@ljaluminio.com.br" TargetMode="External"/><Relationship Id="rId7" Type="http://schemas.openxmlformats.org/officeDocument/2006/relationships/drawing" Target="../drawings/drawing2.xml"/><Relationship Id="rId2" Type="http://schemas.openxmlformats.org/officeDocument/2006/relationships/hyperlink" Target="mailto:nataacm@hotmail.com" TargetMode="External"/><Relationship Id="rId1" Type="http://schemas.openxmlformats.org/officeDocument/2006/relationships/hyperlink" Target="mailto:nayle.andrade@alubras.com" TargetMode="External"/><Relationship Id="rId6" Type="http://schemas.openxmlformats.org/officeDocument/2006/relationships/hyperlink" Target="mailto:ewerton.melo@confianca.ind.br" TargetMode="External"/><Relationship Id="rId5" Type="http://schemas.openxmlformats.org/officeDocument/2006/relationships/hyperlink" Target="mailto:adauto@almais.com.br" TargetMode="External"/><Relationship Id="rId4" Type="http://schemas.openxmlformats.org/officeDocument/2006/relationships/hyperlink" Target="mailto:eliezerneve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44"/>
  <sheetViews>
    <sheetView showGridLines="0" showZeros="0" topLeftCell="D7" zoomScale="70" zoomScaleNormal="70" workbookViewId="0">
      <selection activeCell="Q19" sqref="Q19"/>
    </sheetView>
  </sheetViews>
  <sheetFormatPr defaultColWidth="11.42578125" defaultRowHeight="12.75"/>
  <cols>
    <col min="1" max="1" width="23.140625" style="15" customWidth="1"/>
    <col min="2" max="2" width="24.7109375" style="15" customWidth="1"/>
    <col min="3" max="3" width="19" style="15" customWidth="1"/>
    <col min="4" max="4" width="28.28515625" style="15" customWidth="1"/>
    <col min="5" max="5" width="14" style="16" customWidth="1"/>
    <col min="6" max="6" width="15.85546875" style="16" customWidth="1"/>
    <col min="7" max="7" width="15" style="15" customWidth="1"/>
    <col min="8" max="8" width="17.42578125" style="15" customWidth="1"/>
    <col min="9" max="9" width="15" style="15" customWidth="1"/>
    <col min="10" max="10" width="18.85546875" style="17" customWidth="1"/>
    <col min="11" max="12" width="15" style="17" customWidth="1"/>
    <col min="13" max="13" width="15.140625" style="15" customWidth="1"/>
    <col min="14" max="14" width="19.42578125" style="15" customWidth="1"/>
    <col min="15" max="15" width="17.140625" style="15" customWidth="1"/>
    <col min="16" max="16" width="17.7109375" style="18" customWidth="1"/>
    <col min="17" max="17" width="18.7109375" style="19" customWidth="1"/>
    <col min="18" max="18" width="14.28515625" style="15" customWidth="1"/>
    <col min="19" max="19" width="2" style="15" customWidth="1"/>
    <col min="20" max="20" width="15.42578125" style="15" customWidth="1"/>
    <col min="21" max="21" width="14.140625" style="15" customWidth="1"/>
    <col min="22" max="16384" width="11.42578125" style="15"/>
  </cols>
  <sheetData>
    <row r="1" spans="1:21" ht="31.5" customHeight="1">
      <c r="A1" s="14"/>
      <c r="B1" s="14"/>
      <c r="C1" s="14"/>
      <c r="D1" s="14"/>
      <c r="E1" s="20" t="s">
        <v>0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2"/>
      <c r="Q1" s="13">
        <v>42290</v>
      </c>
      <c r="R1" s="13"/>
      <c r="S1" s="13"/>
      <c r="T1" s="13"/>
      <c r="U1" s="13"/>
    </row>
    <row r="2" spans="1:21" ht="62.25" customHeight="1">
      <c r="A2" s="14"/>
      <c r="B2" s="14"/>
      <c r="C2" s="14"/>
      <c r="D2" s="14"/>
      <c r="E2" s="23" t="s">
        <v>1</v>
      </c>
      <c r="F2" s="24"/>
      <c r="G2" s="24"/>
      <c r="H2" s="24"/>
      <c r="I2" s="24"/>
      <c r="J2" s="24"/>
      <c r="K2" s="24"/>
      <c r="L2" s="24"/>
      <c r="M2" s="24"/>
      <c r="N2" s="24"/>
      <c r="O2" s="24"/>
      <c r="P2" s="25"/>
      <c r="Q2" s="13"/>
      <c r="R2" s="13"/>
      <c r="S2" s="13"/>
      <c r="T2" s="13"/>
      <c r="U2" s="13"/>
    </row>
    <row r="3" spans="1:21" ht="15" customHeight="1">
      <c r="A3" s="26"/>
      <c r="B3" s="27"/>
      <c r="C3" s="27"/>
      <c r="D3" s="27"/>
      <c r="E3" s="28"/>
      <c r="F3" s="28"/>
      <c r="G3" s="27"/>
      <c r="H3" s="27"/>
      <c r="I3" s="27"/>
      <c r="J3" s="29"/>
      <c r="K3" s="29"/>
      <c r="L3" s="29"/>
      <c r="M3" s="27"/>
      <c r="N3" s="27"/>
      <c r="O3" s="27"/>
      <c r="P3" s="30"/>
      <c r="Q3" s="31"/>
      <c r="R3" s="27"/>
      <c r="S3" s="27"/>
      <c r="T3" s="27"/>
      <c r="U3" s="32"/>
    </row>
    <row r="4" spans="1:21" s="37" customFormat="1" ht="33" customHeight="1">
      <c r="A4" s="33" t="s">
        <v>2</v>
      </c>
      <c r="B4" s="12">
        <v>42290</v>
      </c>
      <c r="C4" s="12"/>
      <c r="D4" s="34" t="s">
        <v>3</v>
      </c>
      <c r="E4" s="11" t="s">
        <v>4</v>
      </c>
      <c r="F4" s="11"/>
      <c r="G4" s="35"/>
      <c r="H4" s="35"/>
      <c r="I4" s="35"/>
      <c r="J4" s="35"/>
      <c r="K4" s="35"/>
      <c r="L4" s="35"/>
      <c r="M4" s="11" t="s">
        <v>5</v>
      </c>
      <c r="N4" s="11"/>
      <c r="O4" s="11"/>
      <c r="P4" s="11"/>
      <c r="Q4" s="11"/>
      <c r="R4" s="11"/>
      <c r="S4" s="36"/>
      <c r="T4" s="10" t="s">
        <v>6</v>
      </c>
      <c r="U4" s="10"/>
    </row>
    <row r="5" spans="1:21" s="37" customFormat="1" ht="30.75" customHeight="1">
      <c r="A5" s="38" t="s">
        <v>7</v>
      </c>
      <c r="B5" s="39" t="s">
        <v>3</v>
      </c>
      <c r="C5" s="40" t="s">
        <v>8</v>
      </c>
      <c r="D5" s="41" t="s">
        <v>9</v>
      </c>
      <c r="E5" s="9" t="s">
        <v>10</v>
      </c>
      <c r="F5" s="9"/>
      <c r="G5" s="8" t="s">
        <v>11</v>
      </c>
      <c r="H5" s="8"/>
      <c r="I5" s="8" t="s">
        <v>12</v>
      </c>
      <c r="J5" s="8"/>
      <c r="K5" s="8" t="s">
        <v>13</v>
      </c>
      <c r="L5" s="8"/>
      <c r="M5" s="7" t="s">
        <v>14</v>
      </c>
      <c r="N5" s="6" t="s">
        <v>15</v>
      </c>
      <c r="O5" s="5" t="s">
        <v>16</v>
      </c>
      <c r="P5" s="5" t="s">
        <v>17</v>
      </c>
      <c r="Q5" s="5" t="s">
        <v>18</v>
      </c>
      <c r="R5" s="5" t="s">
        <v>19</v>
      </c>
      <c r="T5" s="4" t="s">
        <v>20</v>
      </c>
      <c r="U5" s="4" t="s">
        <v>21</v>
      </c>
    </row>
    <row r="6" spans="1:21" s="37" customFormat="1" ht="37.5" customHeight="1">
      <c r="A6" s="3" t="s">
        <v>22</v>
      </c>
      <c r="B6" s="3"/>
      <c r="C6" s="44" t="s">
        <v>23</v>
      </c>
      <c r="D6" s="41" t="s">
        <v>24</v>
      </c>
      <c r="E6" s="2" t="s">
        <v>25</v>
      </c>
      <c r="F6" s="2"/>
      <c r="G6" s="1" t="s">
        <v>26</v>
      </c>
      <c r="H6" s="1"/>
      <c r="I6" s="1" t="s">
        <v>27</v>
      </c>
      <c r="J6" s="1"/>
      <c r="K6" s="1" t="s">
        <v>28</v>
      </c>
      <c r="L6" s="1"/>
      <c r="M6" s="7"/>
      <c r="N6" s="6"/>
      <c r="O6" s="5"/>
      <c r="P6" s="5"/>
      <c r="Q6" s="5"/>
      <c r="R6" s="5"/>
      <c r="T6" s="4"/>
      <c r="U6" s="4"/>
    </row>
    <row r="7" spans="1:21" s="37" customFormat="1" ht="20.25" customHeight="1">
      <c r="A7" s="3"/>
      <c r="B7" s="3"/>
      <c r="C7" s="45" t="s">
        <v>29</v>
      </c>
      <c r="D7" s="46"/>
      <c r="E7" s="2" t="s">
        <v>30</v>
      </c>
      <c r="F7" s="2"/>
      <c r="G7" s="300" t="s">
        <v>31</v>
      </c>
      <c r="H7" s="300"/>
      <c r="I7" s="300" t="s">
        <v>32</v>
      </c>
      <c r="J7" s="300"/>
      <c r="K7" s="300" t="s">
        <v>33</v>
      </c>
      <c r="L7" s="300"/>
      <c r="M7" s="7"/>
      <c r="N7" s="6"/>
      <c r="O7" s="5"/>
      <c r="P7" s="5"/>
      <c r="Q7" s="5"/>
      <c r="R7" s="5"/>
      <c r="T7" s="4"/>
      <c r="U7" s="4"/>
    </row>
    <row r="8" spans="1:21" s="37" customFormat="1" ht="20.25" customHeight="1">
      <c r="A8" s="3"/>
      <c r="B8" s="3"/>
      <c r="C8" s="45" t="s">
        <v>34</v>
      </c>
      <c r="D8" s="46"/>
      <c r="E8" s="2" t="s">
        <v>35</v>
      </c>
      <c r="F8" s="2"/>
      <c r="G8" s="301"/>
      <c r="H8" s="301"/>
      <c r="I8" s="301"/>
      <c r="J8" s="301"/>
      <c r="K8" s="301"/>
      <c r="L8" s="301"/>
      <c r="M8" s="7"/>
      <c r="N8" s="6"/>
      <c r="O8" s="5"/>
      <c r="P8" s="5"/>
      <c r="Q8" s="5"/>
      <c r="R8" s="5"/>
      <c r="T8" s="4"/>
      <c r="U8" s="4"/>
    </row>
    <row r="9" spans="1:21" s="37" customFormat="1" ht="20.25" customHeight="1">
      <c r="A9" s="3"/>
      <c r="B9" s="3"/>
      <c r="C9" s="45" t="s">
        <v>36</v>
      </c>
      <c r="D9" s="46"/>
      <c r="E9" s="302" t="s">
        <v>37</v>
      </c>
      <c r="F9" s="302"/>
      <c r="G9" s="301" t="s">
        <v>38</v>
      </c>
      <c r="H9" s="301"/>
      <c r="I9" s="301" t="s">
        <v>38</v>
      </c>
      <c r="J9" s="301"/>
      <c r="K9" s="301" t="s">
        <v>38</v>
      </c>
      <c r="L9" s="301"/>
      <c r="M9" s="7"/>
      <c r="N9" s="6"/>
      <c r="O9" s="5"/>
      <c r="P9" s="5"/>
      <c r="Q9" s="5"/>
      <c r="R9" s="5"/>
      <c r="T9" s="4"/>
      <c r="U9" s="4"/>
    </row>
    <row r="10" spans="1:21" s="37" customFormat="1" ht="38.25" customHeight="1">
      <c r="A10" s="3"/>
      <c r="B10" s="3"/>
      <c r="C10" s="47"/>
      <c r="D10" s="48"/>
      <c r="E10" s="303" t="s">
        <v>39</v>
      </c>
      <c r="F10" s="303"/>
      <c r="G10" s="304" t="s">
        <v>40</v>
      </c>
      <c r="H10" s="304"/>
      <c r="I10" s="304" t="s">
        <v>41</v>
      </c>
      <c r="J10" s="304"/>
      <c r="K10" s="304" t="s">
        <v>42</v>
      </c>
      <c r="L10" s="304"/>
      <c r="M10" s="7"/>
      <c r="N10" s="6"/>
      <c r="O10" s="5"/>
      <c r="P10" s="5"/>
      <c r="Q10" s="5"/>
      <c r="R10" s="5"/>
      <c r="S10" s="50"/>
      <c r="T10" s="4"/>
      <c r="U10" s="4"/>
    </row>
    <row r="11" spans="1:21" s="37" customFormat="1" ht="33" customHeight="1">
      <c r="A11" s="51" t="s">
        <v>43</v>
      </c>
      <c r="B11" s="305" t="s">
        <v>44</v>
      </c>
      <c r="C11" s="305"/>
      <c r="D11" s="305"/>
      <c r="E11" s="52" t="s">
        <v>45</v>
      </c>
      <c r="F11" s="53" t="s">
        <v>46</v>
      </c>
      <c r="G11" s="54" t="s">
        <v>47</v>
      </c>
      <c r="H11" s="53" t="s">
        <v>48</v>
      </c>
      <c r="I11" s="54" t="s">
        <v>47</v>
      </c>
      <c r="J11" s="53" t="s">
        <v>48</v>
      </c>
      <c r="K11" s="54" t="s">
        <v>47</v>
      </c>
      <c r="L11" s="53" t="s">
        <v>48</v>
      </c>
      <c r="M11" s="53" t="s">
        <v>49</v>
      </c>
      <c r="N11" s="55" t="s">
        <v>50</v>
      </c>
      <c r="O11" s="43" t="s">
        <v>16</v>
      </c>
      <c r="P11" s="43" t="s">
        <v>17</v>
      </c>
      <c r="Q11" s="43" t="s">
        <v>18</v>
      </c>
      <c r="R11" s="56" t="s">
        <v>19</v>
      </c>
      <c r="T11" s="4"/>
      <c r="U11" s="4"/>
    </row>
    <row r="12" spans="1:21" s="37" customFormat="1" ht="51.75" customHeight="1">
      <c r="A12" s="57">
        <v>1</v>
      </c>
      <c r="B12" s="306" t="s">
        <v>51</v>
      </c>
      <c r="C12" s="306"/>
      <c r="D12" s="306"/>
      <c r="E12" s="58">
        <v>1280</v>
      </c>
      <c r="F12" s="59" t="s">
        <v>52</v>
      </c>
      <c r="G12" s="60">
        <v>1.75</v>
      </c>
      <c r="H12" s="61">
        <f>E12*G12</f>
        <v>2240</v>
      </c>
      <c r="I12" s="60">
        <v>1.41</v>
      </c>
      <c r="J12" s="62">
        <f>E12*I12</f>
        <v>1804.8</v>
      </c>
      <c r="K12" s="62">
        <v>1.24</v>
      </c>
      <c r="L12" s="62">
        <f>E12*K12</f>
        <v>1587.2</v>
      </c>
      <c r="M12" s="63" t="s">
        <v>53</v>
      </c>
      <c r="N12" s="63" t="s">
        <v>54</v>
      </c>
      <c r="O12" s="63" t="s">
        <v>55</v>
      </c>
      <c r="P12" s="64">
        <v>372</v>
      </c>
      <c r="Q12" s="64">
        <v>1.17</v>
      </c>
      <c r="R12" s="64">
        <f t="shared" ref="R12:R18" si="0">P12*Q12</f>
        <v>435.23999999999995</v>
      </c>
      <c r="S12" s="65"/>
      <c r="T12" s="66">
        <f t="shared" ref="T12:U18" si="1">MIN(G12,I12,K12)</f>
        <v>1.24</v>
      </c>
      <c r="U12" s="66">
        <f t="shared" si="1"/>
        <v>1587.2</v>
      </c>
    </row>
    <row r="13" spans="1:21" s="37" customFormat="1" ht="51.75" customHeight="1">
      <c r="A13" s="67">
        <v>2</v>
      </c>
      <c r="B13" s="307" t="s">
        <v>56</v>
      </c>
      <c r="C13" s="307"/>
      <c r="D13" s="307"/>
      <c r="E13" s="58">
        <v>816</v>
      </c>
      <c r="F13" s="68" t="s">
        <v>52</v>
      </c>
      <c r="G13" s="69">
        <v>2.59</v>
      </c>
      <c r="H13" s="61">
        <f>E13*G13</f>
        <v>2113.44</v>
      </c>
      <c r="I13" s="60">
        <v>2.0099999999999998</v>
      </c>
      <c r="J13" s="62">
        <f>E13*I13</f>
        <v>1640.1599999999999</v>
      </c>
      <c r="K13" s="60">
        <v>2.23</v>
      </c>
      <c r="L13" s="62">
        <f>E13*K13</f>
        <v>1819.68</v>
      </c>
      <c r="M13" s="63" t="s">
        <v>53</v>
      </c>
      <c r="N13" s="63" t="s">
        <v>57</v>
      </c>
      <c r="O13" s="63" t="s">
        <v>55</v>
      </c>
      <c r="P13" s="64">
        <v>180</v>
      </c>
      <c r="Q13" s="64">
        <v>1.17</v>
      </c>
      <c r="R13" s="64">
        <f t="shared" si="0"/>
        <v>210.6</v>
      </c>
      <c r="S13" s="65"/>
      <c r="T13" s="66">
        <f t="shared" si="1"/>
        <v>2.0099999999999998</v>
      </c>
      <c r="U13" s="66">
        <f t="shared" si="1"/>
        <v>1640.1599999999999</v>
      </c>
    </row>
    <row r="14" spans="1:21" s="37" customFormat="1" ht="51.75" customHeight="1">
      <c r="A14" s="67"/>
      <c r="B14" s="307"/>
      <c r="C14" s="307"/>
      <c r="D14" s="307"/>
      <c r="E14" s="58"/>
      <c r="F14" s="59"/>
      <c r="G14" s="60"/>
      <c r="H14" s="61">
        <f>E14*G14</f>
        <v>0</v>
      </c>
      <c r="I14" s="60"/>
      <c r="J14" s="62">
        <f>E14*I14</f>
        <v>0</v>
      </c>
      <c r="K14" s="62"/>
      <c r="L14" s="62">
        <f>E14*K14</f>
        <v>0</v>
      </c>
      <c r="M14" s="63" t="s">
        <v>53</v>
      </c>
      <c r="N14" s="63" t="s">
        <v>58</v>
      </c>
      <c r="O14" s="63" t="s">
        <v>55</v>
      </c>
      <c r="P14" s="64">
        <v>440</v>
      </c>
      <c r="Q14" s="64">
        <v>1.17</v>
      </c>
      <c r="R14" s="64">
        <f t="shared" si="0"/>
        <v>514.79999999999995</v>
      </c>
      <c r="S14" s="65"/>
      <c r="T14" s="66">
        <f t="shared" si="1"/>
        <v>0</v>
      </c>
      <c r="U14" s="66">
        <f t="shared" si="1"/>
        <v>0</v>
      </c>
    </row>
    <row r="15" spans="1:21" s="37" customFormat="1" ht="51.75" customHeight="1">
      <c r="A15" s="67"/>
      <c r="B15" s="307"/>
      <c r="C15" s="307"/>
      <c r="D15" s="307"/>
      <c r="E15" s="58"/>
      <c r="F15" s="59"/>
      <c r="G15" s="60"/>
      <c r="H15" s="61"/>
      <c r="I15" s="60"/>
      <c r="J15" s="62"/>
      <c r="K15" s="62"/>
      <c r="L15" s="62"/>
      <c r="M15" s="63" t="s">
        <v>53</v>
      </c>
      <c r="N15" s="63" t="s">
        <v>59</v>
      </c>
      <c r="O15" s="63" t="s">
        <v>55</v>
      </c>
      <c r="P15" s="64">
        <v>288</v>
      </c>
      <c r="Q15" s="64">
        <v>2.62</v>
      </c>
      <c r="R15" s="64">
        <f t="shared" si="0"/>
        <v>754.56000000000006</v>
      </c>
      <c r="S15" s="65"/>
      <c r="T15" s="66">
        <f t="shared" si="1"/>
        <v>0</v>
      </c>
      <c r="U15" s="66">
        <f t="shared" si="1"/>
        <v>0</v>
      </c>
    </row>
    <row r="16" spans="1:21" s="37" customFormat="1" ht="51.75" customHeight="1">
      <c r="A16" s="67"/>
      <c r="B16" s="307"/>
      <c r="C16" s="307"/>
      <c r="D16" s="307"/>
      <c r="E16" s="58"/>
      <c r="F16" s="59"/>
      <c r="G16" s="60"/>
      <c r="H16" s="61"/>
      <c r="I16" s="60"/>
      <c r="J16" s="62"/>
      <c r="K16" s="62"/>
      <c r="L16" s="62"/>
      <c r="M16" s="63" t="s">
        <v>53</v>
      </c>
      <c r="N16" s="63" t="s">
        <v>60</v>
      </c>
      <c r="O16" s="63" t="s">
        <v>61</v>
      </c>
      <c r="P16" s="64">
        <v>216</v>
      </c>
      <c r="Q16" s="64">
        <v>2.1</v>
      </c>
      <c r="R16" s="64">
        <f t="shared" si="0"/>
        <v>453.6</v>
      </c>
      <c r="S16" s="65"/>
      <c r="T16" s="66">
        <f t="shared" si="1"/>
        <v>0</v>
      </c>
      <c r="U16" s="66">
        <f t="shared" si="1"/>
        <v>0</v>
      </c>
    </row>
    <row r="17" spans="1:24" s="37" customFormat="1" ht="51.75" customHeight="1">
      <c r="A17" s="67"/>
      <c r="B17" s="307"/>
      <c r="C17" s="307"/>
      <c r="D17" s="307"/>
      <c r="E17" s="58"/>
      <c r="F17" s="59"/>
      <c r="G17" s="60"/>
      <c r="H17" s="61"/>
      <c r="I17" s="60"/>
      <c r="J17" s="62"/>
      <c r="K17" s="62"/>
      <c r="L17" s="62"/>
      <c r="M17" s="63" t="s">
        <v>53</v>
      </c>
      <c r="N17" s="63" t="s">
        <v>62</v>
      </c>
      <c r="O17" s="63" t="s">
        <v>61</v>
      </c>
      <c r="P17" s="64">
        <v>600</v>
      </c>
      <c r="Q17" s="64">
        <v>2.1</v>
      </c>
      <c r="R17" s="64">
        <f t="shared" si="0"/>
        <v>1260</v>
      </c>
      <c r="S17" s="65"/>
      <c r="T17" s="66">
        <f t="shared" si="1"/>
        <v>0</v>
      </c>
      <c r="U17" s="66">
        <f t="shared" si="1"/>
        <v>0</v>
      </c>
    </row>
    <row r="18" spans="1:24" s="37" customFormat="1" ht="51.75" customHeight="1">
      <c r="A18" s="67"/>
      <c r="B18" s="307"/>
      <c r="C18" s="307"/>
      <c r="D18" s="307"/>
      <c r="E18" s="58"/>
      <c r="F18" s="59"/>
      <c r="G18" s="60"/>
      <c r="H18" s="61"/>
      <c r="I18" s="60"/>
      <c r="J18" s="62"/>
      <c r="K18" s="62"/>
      <c r="L18" s="62"/>
      <c r="M18" s="63"/>
      <c r="N18" s="63"/>
      <c r="O18" s="63"/>
      <c r="P18" s="64"/>
      <c r="Q18" s="64"/>
      <c r="R18" s="64">
        <f t="shared" si="0"/>
        <v>0</v>
      </c>
      <c r="S18" s="65"/>
      <c r="T18" s="66">
        <f t="shared" si="1"/>
        <v>0</v>
      </c>
      <c r="U18" s="66">
        <f t="shared" si="1"/>
        <v>0</v>
      </c>
    </row>
    <row r="19" spans="1:24" ht="18.75" customHeight="1">
      <c r="A19" s="308" t="s">
        <v>63</v>
      </c>
      <c r="B19" s="308"/>
      <c r="C19" s="308"/>
      <c r="D19" s="308"/>
      <c r="E19" s="309" t="s">
        <v>64</v>
      </c>
      <c r="F19" s="309"/>
      <c r="G19" s="310">
        <f>SUM(H12:H18)</f>
        <v>4353.4400000000005</v>
      </c>
      <c r="H19" s="310"/>
      <c r="I19" s="310">
        <f>SUM(J12:J18)</f>
        <v>3444.96</v>
      </c>
      <c r="J19" s="310"/>
      <c r="K19" s="310">
        <f>SUM(L12:L18)</f>
        <v>3406.88</v>
      </c>
      <c r="L19" s="310"/>
      <c r="M19" s="311" t="s">
        <v>65</v>
      </c>
      <c r="N19" s="311"/>
      <c r="O19" s="311"/>
      <c r="P19" s="311"/>
      <c r="Q19" s="312">
        <f>SUM(R12:R18)</f>
        <v>3628.7999999999997</v>
      </c>
      <c r="R19" s="312"/>
      <c r="S19" s="70"/>
      <c r="T19" s="311">
        <f>SUM(U12:U18)</f>
        <v>3227.3599999999997</v>
      </c>
      <c r="U19" s="311"/>
    </row>
    <row r="20" spans="1:24" ht="18.75" customHeight="1">
      <c r="A20" s="71" t="s">
        <v>44</v>
      </c>
      <c r="B20" s="72" t="s">
        <v>66</v>
      </c>
      <c r="C20" s="72" t="s">
        <v>67</v>
      </c>
      <c r="D20" s="73" t="s">
        <v>68</v>
      </c>
      <c r="E20" s="313" t="s">
        <v>69</v>
      </c>
      <c r="F20" s="313"/>
      <c r="G20" s="314"/>
      <c r="H20" s="314"/>
      <c r="I20" s="314"/>
      <c r="J20" s="314"/>
      <c r="K20" s="314"/>
      <c r="L20" s="314"/>
      <c r="M20" s="311"/>
      <c r="N20" s="311"/>
      <c r="O20" s="311"/>
      <c r="P20" s="311"/>
      <c r="Q20" s="312"/>
      <c r="R20" s="312"/>
      <c r="S20" s="70"/>
      <c r="T20" s="311"/>
      <c r="U20" s="311"/>
      <c r="W20" s="315"/>
      <c r="X20" s="315"/>
    </row>
    <row r="21" spans="1:24" ht="18.75" customHeight="1">
      <c r="A21" s="74" t="s">
        <v>70</v>
      </c>
      <c r="B21" s="75"/>
      <c r="C21" s="76"/>
      <c r="D21" s="77"/>
      <c r="E21" s="316" t="s">
        <v>71</v>
      </c>
      <c r="F21" s="316"/>
      <c r="G21" s="314" t="s">
        <v>72</v>
      </c>
      <c r="H21" s="314"/>
      <c r="I21" s="314" t="s">
        <v>72</v>
      </c>
      <c r="J21" s="314"/>
      <c r="K21" s="314" t="s">
        <v>72</v>
      </c>
      <c r="L21" s="314"/>
      <c r="M21" s="311"/>
      <c r="N21" s="311"/>
      <c r="O21" s="311"/>
      <c r="P21" s="311"/>
      <c r="Q21" s="312"/>
      <c r="R21" s="312"/>
      <c r="S21" s="70"/>
      <c r="T21" s="311"/>
      <c r="U21" s="311"/>
      <c r="W21" s="315"/>
      <c r="X21" s="315"/>
    </row>
    <row r="22" spans="1:24" s="86" customFormat="1" ht="18.75" customHeight="1">
      <c r="A22" s="78" t="s">
        <v>73</v>
      </c>
      <c r="B22" s="79">
        <f>C22*G19</f>
        <v>0</v>
      </c>
      <c r="C22" s="80"/>
      <c r="D22" s="81"/>
      <c r="E22" s="316" t="s">
        <v>19</v>
      </c>
      <c r="F22" s="316"/>
      <c r="G22" s="317"/>
      <c r="H22" s="317"/>
      <c r="I22" s="317"/>
      <c r="J22" s="317"/>
      <c r="K22" s="317"/>
      <c r="L22" s="317"/>
      <c r="M22" s="318" t="s">
        <v>74</v>
      </c>
      <c r="N22" s="318"/>
      <c r="O22" s="82" t="s">
        <v>75</v>
      </c>
      <c r="P22" s="319" t="s">
        <v>76</v>
      </c>
      <c r="Q22" s="320">
        <f>Q19*(1+O25)</f>
        <v>3896.3396281903165</v>
      </c>
      <c r="R22" s="320"/>
      <c r="S22" s="83"/>
      <c r="T22" s="84"/>
      <c r="U22" s="85"/>
      <c r="W22" s="321"/>
      <c r="X22" s="321"/>
    </row>
    <row r="23" spans="1:24" ht="18.75" customHeight="1">
      <c r="A23" s="78" t="s">
        <v>77</v>
      </c>
      <c r="B23" s="79"/>
      <c r="C23" s="80"/>
      <c r="D23" s="81"/>
      <c r="E23" s="316" t="s">
        <v>78</v>
      </c>
      <c r="F23" s="316"/>
      <c r="G23" s="310"/>
      <c r="H23" s="310"/>
      <c r="I23" s="310"/>
      <c r="J23" s="310"/>
      <c r="K23" s="310"/>
      <c r="L23" s="310"/>
      <c r="M23" s="87" t="s">
        <v>79</v>
      </c>
      <c r="N23" s="88">
        <v>41913</v>
      </c>
      <c r="O23" s="89">
        <v>599.82299999999998</v>
      </c>
      <c r="P23" s="319"/>
      <c r="Q23" s="320"/>
      <c r="R23" s="320"/>
      <c r="S23" s="90"/>
      <c r="T23" s="91"/>
      <c r="U23" s="92"/>
      <c r="W23" s="315"/>
      <c r="X23" s="315"/>
    </row>
    <row r="24" spans="1:24" ht="18.75" customHeight="1">
      <c r="A24" s="93" t="s">
        <v>80</v>
      </c>
      <c r="B24" s="79">
        <v>0</v>
      </c>
      <c r="C24" s="80">
        <v>0</v>
      </c>
      <c r="D24" s="81"/>
      <c r="E24" s="316" t="s">
        <v>81</v>
      </c>
      <c r="F24" s="316"/>
      <c r="G24" s="322"/>
      <c r="H24" s="322"/>
      <c r="I24" s="322"/>
      <c r="J24" s="322"/>
      <c r="K24" s="322"/>
      <c r="L24" s="322"/>
      <c r="M24" s="94" t="s">
        <v>82</v>
      </c>
      <c r="N24" s="95">
        <v>42248</v>
      </c>
      <c r="O24" s="96">
        <v>644.04600000000005</v>
      </c>
      <c r="P24" s="319"/>
      <c r="Q24" s="320"/>
      <c r="R24" s="320"/>
      <c r="S24" s="90"/>
      <c r="T24" s="91"/>
      <c r="U24" s="92"/>
    </row>
    <row r="25" spans="1:24" ht="18.75" customHeight="1">
      <c r="A25" s="97" t="s">
        <v>19</v>
      </c>
      <c r="B25" s="98">
        <f>B22+B23+B24</f>
        <v>0</v>
      </c>
      <c r="C25" s="99"/>
      <c r="D25" s="81"/>
      <c r="E25" s="316" t="s">
        <v>83</v>
      </c>
      <c r="F25" s="316"/>
      <c r="G25" s="323"/>
      <c r="H25" s="323"/>
      <c r="I25" s="323"/>
      <c r="J25" s="323"/>
      <c r="K25" s="323"/>
      <c r="L25" s="323"/>
      <c r="M25" s="324" t="s">
        <v>84</v>
      </c>
      <c r="N25" s="324"/>
      <c r="O25" s="100">
        <f>O24/O23-1</f>
        <v>7.372674939107049E-2</v>
      </c>
      <c r="P25" s="319"/>
      <c r="Q25" s="320"/>
      <c r="R25" s="320"/>
      <c r="S25" s="91"/>
      <c r="T25" s="91"/>
      <c r="U25" s="92"/>
    </row>
    <row r="26" spans="1:24" ht="18.75" customHeight="1">
      <c r="A26" s="78"/>
      <c r="B26" s="79"/>
      <c r="C26" s="99"/>
      <c r="D26" s="81"/>
      <c r="E26" s="316" t="s">
        <v>85</v>
      </c>
      <c r="F26" s="316"/>
      <c r="G26" s="323"/>
      <c r="H26" s="323"/>
      <c r="I26" s="323"/>
      <c r="J26" s="323"/>
      <c r="K26" s="323"/>
      <c r="L26" s="323"/>
      <c r="M26" s="325" t="s">
        <v>86</v>
      </c>
      <c r="N26" s="325"/>
      <c r="O26" s="325"/>
      <c r="P26" s="325"/>
      <c r="Q26" s="320">
        <f>Q22-I19</f>
        <v>451.37962819031645</v>
      </c>
      <c r="R26" s="320"/>
      <c r="S26" s="101"/>
      <c r="T26" s="91"/>
      <c r="U26" s="92"/>
    </row>
    <row r="27" spans="1:24" ht="18.75" customHeight="1">
      <c r="A27" s="78"/>
      <c r="B27" s="102"/>
      <c r="C27" s="76"/>
      <c r="D27" s="81"/>
      <c r="E27" s="316" t="s">
        <v>87</v>
      </c>
      <c r="F27" s="316"/>
      <c r="G27" s="326" t="s">
        <v>72</v>
      </c>
      <c r="H27" s="326"/>
      <c r="I27" s="326" t="s">
        <v>72</v>
      </c>
      <c r="J27" s="326"/>
      <c r="K27" s="326" t="s">
        <v>72</v>
      </c>
      <c r="L27" s="326"/>
      <c r="S27" s="101"/>
      <c r="T27" s="91"/>
      <c r="U27" s="92"/>
    </row>
    <row r="28" spans="1:24" ht="18.75" customHeight="1">
      <c r="A28" s="93"/>
      <c r="B28" s="103"/>
      <c r="C28" s="103"/>
      <c r="D28" s="104"/>
      <c r="E28" s="316" t="s">
        <v>88</v>
      </c>
      <c r="F28" s="316"/>
      <c r="G28" s="327">
        <f>G23</f>
        <v>0</v>
      </c>
      <c r="H28" s="327"/>
      <c r="I28" s="327"/>
      <c r="J28" s="327"/>
      <c r="K28" s="327"/>
      <c r="L28" s="327"/>
      <c r="M28" s="311" t="s">
        <v>89</v>
      </c>
      <c r="N28" s="311"/>
      <c r="O28" s="311"/>
      <c r="P28" s="311"/>
      <c r="Q28" s="311"/>
      <c r="R28" s="311"/>
      <c r="S28" s="105"/>
      <c r="T28" s="105"/>
      <c r="U28" s="92"/>
    </row>
    <row r="29" spans="1:24" ht="18.75" customHeight="1">
      <c r="A29" s="37"/>
      <c r="B29" s="106"/>
      <c r="C29" s="107"/>
      <c r="D29" s="108"/>
      <c r="E29" s="316" t="s">
        <v>90</v>
      </c>
      <c r="F29" s="316"/>
      <c r="G29" s="323"/>
      <c r="H29" s="323"/>
      <c r="I29" s="323"/>
      <c r="J29" s="323"/>
      <c r="K29" s="323"/>
      <c r="L29" s="323"/>
      <c r="M29" s="109" t="s">
        <v>91</v>
      </c>
      <c r="P29" s="110">
        <v>42248</v>
      </c>
      <c r="Q29" s="320">
        <v>3500</v>
      </c>
      <c r="R29" s="320"/>
      <c r="S29" s="105"/>
      <c r="T29" s="105"/>
      <c r="U29" s="92"/>
    </row>
    <row r="30" spans="1:24" ht="18.75" customHeight="1">
      <c r="A30" s="78"/>
      <c r="B30" s="103"/>
      <c r="C30" s="103"/>
      <c r="D30" s="104"/>
      <c r="E30" s="328" t="s">
        <v>92</v>
      </c>
      <c r="F30" s="328"/>
      <c r="G30" s="323"/>
      <c r="H30" s="323"/>
      <c r="I30" s="323"/>
      <c r="J30" s="323"/>
      <c r="K30" s="323"/>
      <c r="L30" s="323"/>
      <c r="M30" s="111" t="s">
        <v>93</v>
      </c>
      <c r="N30" s="112">
        <v>42217</v>
      </c>
      <c r="O30" s="113">
        <v>642.64400000000001</v>
      </c>
      <c r="P30" s="329" t="s">
        <v>94</v>
      </c>
      <c r="Q30" s="330">
        <f>+Q29/O30*O31</f>
        <v>3507.6356427508854</v>
      </c>
      <c r="R30" s="330"/>
      <c r="S30" s="105"/>
      <c r="T30" s="105"/>
      <c r="U30" s="92"/>
    </row>
    <row r="31" spans="1:24" ht="18.75" customHeight="1">
      <c r="A31" s="114"/>
      <c r="B31" s="115"/>
      <c r="C31" s="115"/>
      <c r="D31" s="116"/>
      <c r="E31" s="328" t="s">
        <v>95</v>
      </c>
      <c r="F31" s="328"/>
      <c r="G31" s="326"/>
      <c r="H31" s="326"/>
      <c r="I31" s="326"/>
      <c r="J31" s="326"/>
      <c r="K31" s="326"/>
      <c r="L31" s="326"/>
      <c r="M31" s="117" t="s">
        <v>96</v>
      </c>
      <c r="N31" s="95">
        <v>42248</v>
      </c>
      <c r="O31" s="96">
        <v>644.04600000000005</v>
      </c>
      <c r="P31" s="329"/>
      <c r="Q31" s="330"/>
      <c r="R31" s="330"/>
      <c r="S31" s="118"/>
      <c r="T31" s="119"/>
      <c r="U31" s="120"/>
    </row>
    <row r="32" spans="1:24" ht="21" customHeight="1"/>
    <row r="33" spans="1:17" ht="21" customHeight="1">
      <c r="A33" s="121" t="s">
        <v>97</v>
      </c>
      <c r="O33" s="122" t="s">
        <v>98</v>
      </c>
      <c r="P33" s="15"/>
      <c r="Q33" s="122" t="s">
        <v>99</v>
      </c>
    </row>
    <row r="34" spans="1:17" ht="21" customHeight="1">
      <c r="A34" s="121" t="s">
        <v>97</v>
      </c>
      <c r="P34" s="15"/>
      <c r="Q34" s="15"/>
    </row>
    <row r="35" spans="1:17" ht="21" customHeight="1">
      <c r="A35" s="121" t="s">
        <v>97</v>
      </c>
      <c r="P35" s="15"/>
      <c r="Q35" s="15"/>
    </row>
    <row r="36" spans="1:17" ht="21" customHeight="1">
      <c r="A36" s="121"/>
    </row>
    <row r="37" spans="1:17" ht="21" customHeight="1">
      <c r="A37" s="121"/>
    </row>
    <row r="38" spans="1:17" ht="18" customHeight="1">
      <c r="A38" s="121"/>
    </row>
    <row r="39" spans="1:17" ht="18" customHeight="1">
      <c r="A39" s="121"/>
    </row>
    <row r="40" spans="1:17" ht="18" customHeight="1">
      <c r="A40" s="121"/>
      <c r="N40" s="123"/>
    </row>
    <row r="44" spans="1:17" ht="12.75" customHeight="1">
      <c r="N44" s="15">
        <f>N40/O23</f>
        <v>0</v>
      </c>
    </row>
  </sheetData>
  <mergeCells count="117">
    <mergeCell ref="E30:F30"/>
    <mergeCell ref="G30:H30"/>
    <mergeCell ref="I30:J30"/>
    <mergeCell ref="K30:L30"/>
    <mergeCell ref="P30:P31"/>
    <mergeCell ref="Q30:R31"/>
    <mergeCell ref="E31:F31"/>
    <mergeCell ref="G31:H31"/>
    <mergeCell ref="I31:J31"/>
    <mergeCell ref="K31:L31"/>
    <mergeCell ref="E28:F28"/>
    <mergeCell ref="G28:H28"/>
    <mergeCell ref="I28:J28"/>
    <mergeCell ref="K28:L28"/>
    <mergeCell ref="M28:R28"/>
    <mergeCell ref="E29:F29"/>
    <mergeCell ref="G29:H29"/>
    <mergeCell ref="I29:J29"/>
    <mergeCell ref="K29:L29"/>
    <mergeCell ref="Q29:R29"/>
    <mergeCell ref="E26:F26"/>
    <mergeCell ref="G26:H26"/>
    <mergeCell ref="I26:J26"/>
    <mergeCell ref="K26:L26"/>
    <mergeCell ref="M26:P26"/>
    <mergeCell ref="Q26:R26"/>
    <mergeCell ref="E27:F27"/>
    <mergeCell ref="G27:H27"/>
    <mergeCell ref="I27:J27"/>
    <mergeCell ref="K27:L27"/>
    <mergeCell ref="E22:F22"/>
    <mergeCell ref="G22:H22"/>
    <mergeCell ref="I22:J22"/>
    <mergeCell ref="K22:L22"/>
    <mergeCell ref="M22:N22"/>
    <mergeCell ref="P22:P25"/>
    <mergeCell ref="Q22:R25"/>
    <mergeCell ref="W22:X22"/>
    <mergeCell ref="E23:F23"/>
    <mergeCell ref="G23:H23"/>
    <mergeCell ref="I23:J23"/>
    <mergeCell ref="K23:L23"/>
    <mergeCell ref="W23:X23"/>
    <mergeCell ref="E24:F24"/>
    <mergeCell ref="G24:H24"/>
    <mergeCell ref="I24:J24"/>
    <mergeCell ref="K24:L24"/>
    <mergeCell ref="E25:F25"/>
    <mergeCell ref="G25:H25"/>
    <mergeCell ref="I25:J25"/>
    <mergeCell ref="K25:L25"/>
    <mergeCell ref="M25:N25"/>
    <mergeCell ref="Q19:R21"/>
    <mergeCell ref="T19:U21"/>
    <mergeCell ref="E20:F20"/>
    <mergeCell ref="G20:H20"/>
    <mergeCell ref="I20:J20"/>
    <mergeCell ref="K20:L20"/>
    <mergeCell ref="W20:X20"/>
    <mergeCell ref="E21:F21"/>
    <mergeCell ref="G21:H21"/>
    <mergeCell ref="I21:J21"/>
    <mergeCell ref="K21:L21"/>
    <mergeCell ref="W21:X21"/>
    <mergeCell ref="B16:D16"/>
    <mergeCell ref="B17:D17"/>
    <mergeCell ref="B18:D18"/>
    <mergeCell ref="A19:D19"/>
    <mergeCell ref="E19:F19"/>
    <mergeCell ref="G19:H19"/>
    <mergeCell ref="I19:J19"/>
    <mergeCell ref="K19:L19"/>
    <mergeCell ref="M19:P21"/>
    <mergeCell ref="E10:F10"/>
    <mergeCell ref="G10:H10"/>
    <mergeCell ref="I10:J10"/>
    <mergeCell ref="K10:L10"/>
    <mergeCell ref="B11:D11"/>
    <mergeCell ref="B12:D12"/>
    <mergeCell ref="B13:D13"/>
    <mergeCell ref="B14:D14"/>
    <mergeCell ref="B15:D15"/>
    <mergeCell ref="G7:H7"/>
    <mergeCell ref="I7:J7"/>
    <mergeCell ref="K7:L7"/>
    <mergeCell ref="E8:F8"/>
    <mergeCell ref="G8:H8"/>
    <mergeCell ref="I8:J8"/>
    <mergeCell ref="K8:L8"/>
    <mergeCell ref="E9:F9"/>
    <mergeCell ref="G9:H9"/>
    <mergeCell ref="I9:J9"/>
    <mergeCell ref="K9:L9"/>
    <mergeCell ref="A1:D2"/>
    <mergeCell ref="Q1:U2"/>
    <mergeCell ref="B4:C4"/>
    <mergeCell ref="E4:F4"/>
    <mergeCell ref="M4:R4"/>
    <mergeCell ref="T4:U4"/>
    <mergeCell ref="E5:F5"/>
    <mergeCell ref="G5:H5"/>
    <mergeCell ref="I5:J5"/>
    <mergeCell ref="K5:L5"/>
    <mergeCell ref="M5:M10"/>
    <mergeCell ref="N5:N10"/>
    <mergeCell ref="O5:O10"/>
    <mergeCell ref="P5:P10"/>
    <mergeCell ref="Q5:Q10"/>
    <mergeCell ref="R5:R10"/>
    <mergeCell ref="T5:T11"/>
    <mergeCell ref="U5:U11"/>
    <mergeCell ref="A6:B10"/>
    <mergeCell ref="E6:F6"/>
    <mergeCell ref="G6:H6"/>
    <mergeCell ref="I6:J6"/>
    <mergeCell ref="K6:L6"/>
    <mergeCell ref="E7:F7"/>
  </mergeCells>
  <hyperlinks>
    <hyperlink ref="G10" r:id="rId1"/>
    <hyperlink ref="I10" r:id="rId2"/>
    <hyperlink ref="K10" r:id="rId3"/>
  </hyperlinks>
  <printOptions horizontalCentered="1" verticalCentered="1"/>
  <pageMargins left="0.2" right="0.2" top="0.59027777777777801" bottom="0.59027777777777801" header="0.511811023622047" footer="0.511811023622047"/>
  <pageSetup paperSize="9" orientation="landscape" horizontalDpi="300" verticalDpi="300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X169"/>
  <sheetViews>
    <sheetView showGridLines="0" showZeros="0" tabSelected="1" topLeftCell="A108" zoomScale="40" zoomScaleNormal="40" workbookViewId="0">
      <selection activeCell="J53" sqref="J53"/>
    </sheetView>
  </sheetViews>
  <sheetFormatPr defaultColWidth="11.42578125" defaultRowHeight="12.75"/>
  <cols>
    <col min="1" max="1" width="34.85546875" style="122" customWidth="1"/>
    <col min="2" max="2" width="35.42578125" style="122" customWidth="1"/>
    <col min="3" max="3" width="23.5703125" style="122" customWidth="1"/>
    <col min="4" max="4" width="46.7109375" style="122" customWidth="1"/>
    <col min="5" max="5" width="21.28515625" style="122" customWidth="1"/>
    <col min="6" max="6" width="53.28515625" style="122" customWidth="1"/>
    <col min="7" max="7" width="30.7109375" style="124" customWidth="1"/>
    <col min="8" max="8" width="34" style="122" customWidth="1"/>
    <col min="9" max="9" width="46.85546875" style="125" customWidth="1"/>
    <col min="10" max="10" width="30.7109375" style="124" customWidth="1"/>
    <col min="11" max="11" width="29.28515625" style="122" customWidth="1"/>
    <col min="12" max="12" width="37.28515625" style="125" customWidth="1"/>
    <col min="13" max="13" width="32.85546875" style="125" customWidth="1"/>
    <col min="14" max="14" width="34.7109375" style="125" customWidth="1"/>
    <col min="15" max="15" width="38.5703125" style="125" customWidth="1"/>
    <col min="16" max="16" width="30.7109375" style="125" customWidth="1"/>
    <col min="17" max="17" width="29.28515625" style="125" customWidth="1"/>
    <col min="18" max="18" width="43.7109375" style="125" customWidth="1"/>
    <col min="19" max="19" width="34.28515625" style="125" customWidth="1"/>
    <col min="20" max="20" width="28.85546875" style="125" customWidth="1"/>
    <col min="21" max="24" width="31.85546875" style="125" customWidth="1"/>
    <col min="25" max="25" width="27.85546875" style="124" customWidth="1"/>
    <col min="26" max="26" width="34" style="122" customWidth="1"/>
    <col min="27" max="27" width="34.7109375" style="125" customWidth="1"/>
    <col min="28" max="28" width="30.7109375" style="125" customWidth="1"/>
    <col min="29" max="29" width="29.28515625" style="125" customWidth="1"/>
    <col min="30" max="30" width="40.140625" style="125" customWidth="1"/>
    <col min="31" max="31" width="24.7109375" style="122" customWidth="1"/>
    <col min="32" max="35" width="45.7109375" style="122" customWidth="1"/>
    <col min="36" max="36" width="45.5703125" style="122" hidden="1" customWidth="1"/>
    <col min="37" max="37" width="29.5703125" style="126" hidden="1" customWidth="1"/>
    <col min="38" max="38" width="22.42578125" style="127" hidden="1" customWidth="1"/>
    <col min="39" max="39" width="27.85546875" style="122" hidden="1" customWidth="1"/>
    <col min="40" max="40" width="23" style="122" hidden="1" customWidth="1"/>
    <col min="41" max="41" width="22.42578125" style="122" hidden="1" customWidth="1"/>
    <col min="42" max="42" width="29.42578125" style="122" customWidth="1"/>
    <col min="43" max="43" width="30.85546875" style="122" customWidth="1"/>
    <col min="44" max="16384" width="11.42578125" style="122"/>
  </cols>
  <sheetData>
    <row r="1" spans="1:50" ht="24" customHeight="1">
      <c r="A1" s="331"/>
      <c r="B1" s="331"/>
      <c r="C1" s="331"/>
      <c r="D1" s="331"/>
      <c r="E1" s="128"/>
      <c r="F1" s="128"/>
      <c r="G1" s="129"/>
      <c r="H1" s="130"/>
      <c r="I1" s="130"/>
      <c r="J1" s="129"/>
      <c r="K1" s="130"/>
      <c r="L1" s="130"/>
      <c r="M1" s="130"/>
      <c r="N1" s="130"/>
      <c r="P1" s="130"/>
      <c r="Q1" s="130"/>
      <c r="R1" s="130"/>
      <c r="S1" s="130"/>
      <c r="T1" s="130"/>
      <c r="U1" s="130"/>
      <c r="V1" s="130"/>
      <c r="W1" s="130"/>
      <c r="X1" s="130"/>
      <c r="Y1" s="129"/>
      <c r="Z1" s="130"/>
      <c r="AA1" s="130"/>
      <c r="AB1" s="130"/>
      <c r="AC1" s="130"/>
      <c r="AD1" s="130"/>
      <c r="AE1" s="130"/>
      <c r="AF1" s="130"/>
      <c r="AG1" s="130"/>
      <c r="AH1" s="130"/>
      <c r="AI1" s="130"/>
      <c r="AJ1" s="131"/>
      <c r="AK1" s="132"/>
      <c r="AL1" s="132"/>
      <c r="AM1" s="132"/>
      <c r="AN1" s="132"/>
      <c r="AO1" s="132"/>
      <c r="AP1" s="133"/>
      <c r="AQ1" s="134"/>
      <c r="AR1" s="135"/>
      <c r="AS1" s="135"/>
      <c r="AT1" s="135"/>
      <c r="AU1" s="121"/>
      <c r="AV1" s="136"/>
      <c r="AW1" s="121"/>
      <c r="AX1" s="121"/>
    </row>
    <row r="2" spans="1:50" ht="56.25" customHeight="1">
      <c r="A2" s="331"/>
      <c r="B2" s="331"/>
      <c r="C2" s="331"/>
      <c r="D2" s="331"/>
      <c r="E2" s="137"/>
      <c r="G2" s="138"/>
      <c r="H2" s="332" t="s">
        <v>100</v>
      </c>
      <c r="I2" s="332"/>
      <c r="J2" s="332"/>
      <c r="K2" s="332"/>
      <c r="L2" s="332"/>
      <c r="M2" s="139"/>
      <c r="N2" s="139"/>
      <c r="O2" s="139"/>
      <c r="P2" s="140"/>
      <c r="Q2" s="140"/>
      <c r="R2" s="140"/>
      <c r="S2" s="140"/>
      <c r="T2" s="140"/>
      <c r="U2" s="140"/>
      <c r="V2" s="140"/>
      <c r="W2" s="140"/>
      <c r="X2" s="140"/>
      <c r="Y2" s="138"/>
      <c r="Z2" s="135"/>
      <c r="AA2" s="135"/>
      <c r="AB2" s="140"/>
      <c r="AC2" s="140"/>
      <c r="AD2" s="140"/>
      <c r="AE2" s="135"/>
      <c r="AF2" s="135"/>
      <c r="AG2" s="135"/>
      <c r="AH2" s="135"/>
      <c r="AI2" s="135"/>
      <c r="AJ2" s="141"/>
      <c r="AK2" s="136"/>
      <c r="AL2" s="136"/>
      <c r="AM2" s="136"/>
      <c r="AN2" s="136"/>
      <c r="AO2" s="136"/>
      <c r="AP2" s="142"/>
      <c r="AQ2" s="143"/>
      <c r="AR2" s="135"/>
      <c r="AS2" s="135"/>
      <c r="AT2" s="135"/>
      <c r="AU2" s="121"/>
      <c r="AV2" s="136"/>
      <c r="AW2" s="137"/>
      <c r="AX2" s="137"/>
    </row>
    <row r="3" spans="1:50" ht="42" customHeight="1">
      <c r="A3" s="331"/>
      <c r="B3" s="331"/>
      <c r="C3" s="331"/>
      <c r="D3" s="331"/>
      <c r="E3" s="144"/>
      <c r="F3" s="144"/>
      <c r="G3" s="333"/>
      <c r="H3" s="333"/>
      <c r="I3" s="333"/>
      <c r="J3" s="333"/>
      <c r="K3" s="333"/>
      <c r="L3" s="333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6"/>
      <c r="Z3" s="147"/>
      <c r="AA3" s="147"/>
      <c r="AB3" s="145"/>
      <c r="AC3" s="145"/>
      <c r="AD3" s="145"/>
      <c r="AE3" s="147"/>
      <c r="AF3" s="147"/>
      <c r="AG3" s="147"/>
      <c r="AH3" s="147"/>
      <c r="AI3" s="147"/>
      <c r="AJ3" s="141"/>
      <c r="AK3" s="136"/>
      <c r="AL3" s="136"/>
      <c r="AM3" s="136"/>
      <c r="AN3" s="136"/>
      <c r="AO3" s="136"/>
      <c r="AP3" s="148"/>
      <c r="AQ3" s="149"/>
      <c r="AR3" s="135"/>
      <c r="AS3" s="135"/>
      <c r="AT3" s="135"/>
      <c r="AU3" s="121"/>
      <c r="AV3" s="136"/>
      <c r="AW3" s="150"/>
      <c r="AX3" s="121"/>
    </row>
    <row r="4" spans="1:50" ht="9" customHeight="1">
      <c r="A4" s="151"/>
      <c r="B4" s="136"/>
      <c r="C4" s="136"/>
      <c r="D4" s="136"/>
      <c r="E4" s="136"/>
      <c r="F4" s="136"/>
      <c r="G4" s="152"/>
      <c r="H4" s="136"/>
      <c r="I4" s="153"/>
      <c r="J4" s="152"/>
      <c r="K4" s="136"/>
      <c r="L4" s="153"/>
      <c r="M4" s="153"/>
      <c r="N4" s="153"/>
      <c r="O4" s="153"/>
      <c r="P4" s="153"/>
      <c r="Q4" s="153"/>
      <c r="R4" s="153"/>
      <c r="S4" s="153"/>
      <c r="T4" s="153"/>
      <c r="U4" s="153"/>
      <c r="V4" s="153"/>
      <c r="W4" s="153"/>
      <c r="X4" s="153"/>
      <c r="Y4" s="152"/>
      <c r="Z4" s="136"/>
      <c r="AA4" s="153"/>
      <c r="AB4" s="153"/>
      <c r="AC4" s="153"/>
      <c r="AD4" s="153"/>
      <c r="AE4" s="136"/>
      <c r="AF4" s="136"/>
      <c r="AG4" s="136"/>
      <c r="AH4" s="136"/>
      <c r="AI4" s="136"/>
      <c r="AJ4" s="334" t="s">
        <v>101</v>
      </c>
      <c r="AK4" s="334"/>
      <c r="AL4" s="334"/>
      <c r="AM4" s="334"/>
      <c r="AN4" s="334"/>
      <c r="AO4" s="334"/>
      <c r="AP4" s="335" t="s">
        <v>102</v>
      </c>
      <c r="AQ4" s="335"/>
    </row>
    <row r="5" spans="1:50" s="157" customFormat="1" ht="39.75" customHeight="1">
      <c r="A5" s="154" t="s">
        <v>2</v>
      </c>
      <c r="B5" s="336">
        <f ca="1">TODAY()</f>
        <v>46265</v>
      </c>
      <c r="C5" s="336"/>
      <c r="D5" s="337" t="s">
        <v>103</v>
      </c>
      <c r="E5" s="337"/>
      <c r="F5" s="337"/>
      <c r="G5" s="155" t="s">
        <v>104</v>
      </c>
      <c r="H5" s="338"/>
      <c r="I5" s="338"/>
      <c r="J5" s="155" t="s">
        <v>105</v>
      </c>
      <c r="K5" s="338"/>
      <c r="L5" s="338"/>
      <c r="M5" s="155" t="s">
        <v>106</v>
      </c>
      <c r="N5" s="338"/>
      <c r="O5" s="338"/>
      <c r="P5" s="155" t="s">
        <v>107</v>
      </c>
      <c r="Q5" s="338"/>
      <c r="R5" s="338"/>
      <c r="S5" s="155" t="s">
        <v>108</v>
      </c>
      <c r="T5" s="338"/>
      <c r="U5" s="338"/>
      <c r="V5" s="155" t="s">
        <v>109</v>
      </c>
      <c r="W5" s="156"/>
      <c r="X5" s="156"/>
      <c r="Y5" s="155" t="s">
        <v>110</v>
      </c>
      <c r="Z5" s="338"/>
      <c r="AA5" s="338"/>
      <c r="AB5" s="155" t="s">
        <v>111</v>
      </c>
      <c r="AC5" s="338"/>
      <c r="AD5" s="338"/>
      <c r="AE5" s="339" t="s">
        <v>112</v>
      </c>
      <c r="AF5" s="339"/>
      <c r="AG5" s="339"/>
      <c r="AH5" s="339"/>
      <c r="AI5" s="339"/>
      <c r="AJ5" s="334"/>
      <c r="AK5" s="334"/>
      <c r="AL5" s="334"/>
      <c r="AM5" s="334"/>
      <c r="AN5" s="334"/>
      <c r="AO5" s="334"/>
      <c r="AP5" s="335"/>
      <c r="AQ5" s="335"/>
    </row>
    <row r="6" spans="1:50" s="157" customFormat="1" ht="54" customHeight="1">
      <c r="A6" s="158" t="s">
        <v>7</v>
      </c>
      <c r="B6" s="159" t="s">
        <v>113</v>
      </c>
      <c r="C6" s="160" t="s">
        <v>8</v>
      </c>
      <c r="D6" s="340" t="s">
        <v>114</v>
      </c>
      <c r="E6" s="340"/>
      <c r="F6" s="340"/>
      <c r="G6" s="161" t="s">
        <v>10</v>
      </c>
      <c r="H6" s="341" t="s">
        <v>115</v>
      </c>
      <c r="I6" s="341"/>
      <c r="J6" s="161" t="s">
        <v>10</v>
      </c>
      <c r="K6" s="341" t="s">
        <v>116</v>
      </c>
      <c r="L6" s="341"/>
      <c r="M6" s="161" t="s">
        <v>10</v>
      </c>
      <c r="N6" s="341" t="s">
        <v>117</v>
      </c>
      <c r="O6" s="341"/>
      <c r="P6" s="161" t="s">
        <v>10</v>
      </c>
      <c r="Q6" s="341" t="s">
        <v>118</v>
      </c>
      <c r="R6" s="341"/>
      <c r="S6" s="42" t="s">
        <v>10</v>
      </c>
      <c r="T6" s="342" t="s">
        <v>119</v>
      </c>
      <c r="U6" s="342"/>
      <c r="V6" s="42" t="s">
        <v>10</v>
      </c>
      <c r="W6" s="342" t="s">
        <v>120</v>
      </c>
      <c r="X6" s="342"/>
      <c r="Y6" s="42" t="s">
        <v>10</v>
      </c>
      <c r="Z6" s="342" t="s">
        <v>121</v>
      </c>
      <c r="AA6" s="342"/>
      <c r="AB6" s="161" t="s">
        <v>10</v>
      </c>
      <c r="AC6" s="341" t="s">
        <v>122</v>
      </c>
      <c r="AD6" s="341"/>
      <c r="AE6" s="343" t="s">
        <v>123</v>
      </c>
      <c r="AF6" s="343" t="s">
        <v>124</v>
      </c>
      <c r="AG6" s="344" t="s">
        <v>125</v>
      </c>
      <c r="AH6" s="344" t="s">
        <v>126</v>
      </c>
      <c r="AI6" s="344" t="s">
        <v>127</v>
      </c>
      <c r="AJ6" s="345" t="s">
        <v>15</v>
      </c>
      <c r="AK6" s="345" t="s">
        <v>16</v>
      </c>
      <c r="AL6" s="345" t="s">
        <v>128</v>
      </c>
      <c r="AM6" s="345" t="s">
        <v>17</v>
      </c>
      <c r="AN6" s="345" t="s">
        <v>18</v>
      </c>
      <c r="AO6" s="345" t="s">
        <v>19</v>
      </c>
      <c r="AP6" s="344" t="s">
        <v>20</v>
      </c>
      <c r="AQ6" s="344" t="s">
        <v>21</v>
      </c>
    </row>
    <row r="7" spans="1:50" s="157" customFormat="1" ht="37.5" customHeight="1">
      <c r="A7" s="346"/>
      <c r="B7" s="346"/>
      <c r="C7" s="162" t="s">
        <v>23</v>
      </c>
      <c r="D7" s="347" t="s">
        <v>129</v>
      </c>
      <c r="E7" s="347"/>
      <c r="F7" s="347"/>
      <c r="G7" s="163" t="s">
        <v>25</v>
      </c>
      <c r="H7" s="348" t="s">
        <v>130</v>
      </c>
      <c r="I7" s="348"/>
      <c r="J7" s="163" t="s">
        <v>25</v>
      </c>
      <c r="K7" s="348" t="s">
        <v>131</v>
      </c>
      <c r="L7" s="348"/>
      <c r="M7" s="163" t="s">
        <v>25</v>
      </c>
      <c r="N7" s="348" t="s">
        <v>132</v>
      </c>
      <c r="O7" s="348"/>
      <c r="P7" s="163" t="s">
        <v>25</v>
      </c>
      <c r="Q7" s="348" t="s">
        <v>133</v>
      </c>
      <c r="R7" s="348"/>
      <c r="S7" s="164" t="s">
        <v>25</v>
      </c>
      <c r="T7" s="349" t="s">
        <v>134</v>
      </c>
      <c r="U7" s="349"/>
      <c r="V7" s="164" t="s">
        <v>25</v>
      </c>
      <c r="W7" s="349" t="s">
        <v>135</v>
      </c>
      <c r="X7" s="349"/>
      <c r="Y7" s="164" t="s">
        <v>25</v>
      </c>
      <c r="Z7" s="349" t="s">
        <v>136</v>
      </c>
      <c r="AA7" s="349"/>
      <c r="AB7" s="163" t="s">
        <v>25</v>
      </c>
      <c r="AC7" s="348" t="s">
        <v>137</v>
      </c>
      <c r="AD7" s="348"/>
      <c r="AE7" s="343"/>
      <c r="AF7" s="343"/>
      <c r="AG7" s="343"/>
      <c r="AH7" s="343"/>
      <c r="AI7" s="343"/>
      <c r="AJ7" s="343"/>
      <c r="AK7" s="343"/>
      <c r="AL7" s="343"/>
      <c r="AM7" s="343"/>
      <c r="AN7" s="343"/>
      <c r="AO7" s="343"/>
      <c r="AP7" s="343"/>
      <c r="AQ7" s="343"/>
    </row>
    <row r="8" spans="1:50" s="157" customFormat="1" ht="37.5" customHeight="1">
      <c r="A8" s="346"/>
      <c r="B8" s="346"/>
      <c r="C8" s="162" t="s">
        <v>138</v>
      </c>
      <c r="D8" s="347" t="s">
        <v>139</v>
      </c>
      <c r="E8" s="347"/>
      <c r="F8" s="347"/>
      <c r="G8" s="163" t="s">
        <v>30</v>
      </c>
      <c r="H8" s="350"/>
      <c r="I8" s="350"/>
      <c r="J8" s="163" t="s">
        <v>30</v>
      </c>
      <c r="K8" s="350"/>
      <c r="L8" s="350"/>
      <c r="M8" s="163" t="s">
        <v>30</v>
      </c>
      <c r="N8" s="350"/>
      <c r="O8" s="350"/>
      <c r="P8" s="163" t="s">
        <v>30</v>
      </c>
      <c r="Q8" s="350"/>
      <c r="R8" s="350"/>
      <c r="S8" s="164" t="s">
        <v>30</v>
      </c>
      <c r="T8" s="351"/>
      <c r="U8" s="351"/>
      <c r="V8" s="164" t="s">
        <v>30</v>
      </c>
      <c r="W8" s="349"/>
      <c r="X8" s="349"/>
      <c r="Y8" s="164" t="s">
        <v>30</v>
      </c>
      <c r="Z8" s="349"/>
      <c r="AA8" s="349"/>
      <c r="AB8" s="163" t="s">
        <v>30</v>
      </c>
      <c r="AC8" s="350"/>
      <c r="AD8" s="350"/>
      <c r="AE8" s="343"/>
      <c r="AF8" s="343"/>
      <c r="AG8" s="343"/>
      <c r="AH8" s="343"/>
      <c r="AI8" s="343"/>
      <c r="AJ8" s="343"/>
      <c r="AK8" s="343"/>
      <c r="AL8" s="343"/>
      <c r="AM8" s="343"/>
      <c r="AN8" s="343"/>
      <c r="AO8" s="343"/>
      <c r="AP8" s="343"/>
      <c r="AQ8" s="343"/>
    </row>
    <row r="9" spans="1:50" s="157" customFormat="1" ht="37.5" customHeight="1">
      <c r="A9" s="346"/>
      <c r="B9" s="346"/>
      <c r="C9" s="162" t="s">
        <v>140</v>
      </c>
      <c r="D9" s="347" t="s">
        <v>141</v>
      </c>
      <c r="E9" s="347"/>
      <c r="F9" s="347"/>
      <c r="G9" s="163" t="s">
        <v>35</v>
      </c>
      <c r="H9" s="350" t="s">
        <v>142</v>
      </c>
      <c r="I9" s="350"/>
      <c r="J9" s="163" t="s">
        <v>35</v>
      </c>
      <c r="K9" s="350" t="s">
        <v>143</v>
      </c>
      <c r="L9" s="350"/>
      <c r="M9" s="163" t="s">
        <v>35</v>
      </c>
      <c r="N9" s="350" t="s">
        <v>144</v>
      </c>
      <c r="O9" s="350"/>
      <c r="P9" s="163" t="s">
        <v>35</v>
      </c>
      <c r="Q9" s="350" t="s">
        <v>145</v>
      </c>
      <c r="R9" s="350"/>
      <c r="S9" s="164" t="s">
        <v>35</v>
      </c>
      <c r="T9" s="351" t="s">
        <v>146</v>
      </c>
      <c r="U9" s="351"/>
      <c r="V9" s="164" t="s">
        <v>35</v>
      </c>
      <c r="W9" s="351" t="s">
        <v>147</v>
      </c>
      <c r="X9" s="351"/>
      <c r="Y9" s="164" t="s">
        <v>35</v>
      </c>
      <c r="Z9" s="351" t="s">
        <v>148</v>
      </c>
      <c r="AA9" s="351"/>
      <c r="AB9" s="163" t="s">
        <v>35</v>
      </c>
      <c r="AC9" s="350" t="s">
        <v>149</v>
      </c>
      <c r="AD9" s="350"/>
      <c r="AE9" s="343"/>
      <c r="AF9" s="343"/>
      <c r="AG9" s="343"/>
      <c r="AH9" s="343"/>
      <c r="AI9" s="343"/>
      <c r="AJ9" s="343"/>
      <c r="AK9" s="343"/>
      <c r="AL9" s="343"/>
      <c r="AM9" s="343"/>
      <c r="AN9" s="343"/>
      <c r="AO9" s="343"/>
      <c r="AP9" s="343"/>
      <c r="AQ9" s="343"/>
    </row>
    <row r="10" spans="1:50" s="157" customFormat="1" ht="37.5" customHeight="1">
      <c r="A10" s="346"/>
      <c r="B10" s="346"/>
      <c r="C10" s="165"/>
      <c r="D10" s="166"/>
      <c r="E10" s="166"/>
      <c r="F10" s="166"/>
      <c r="G10" s="163" t="s">
        <v>37</v>
      </c>
      <c r="H10" s="352" t="s">
        <v>150</v>
      </c>
      <c r="I10" s="352"/>
      <c r="J10" s="163" t="s">
        <v>37</v>
      </c>
      <c r="K10" s="352" t="s">
        <v>150</v>
      </c>
      <c r="L10" s="352"/>
      <c r="M10" s="163" t="s">
        <v>37</v>
      </c>
      <c r="N10" s="352" t="s">
        <v>150</v>
      </c>
      <c r="O10" s="352"/>
      <c r="P10" s="163" t="s">
        <v>37</v>
      </c>
      <c r="Q10" s="352" t="s">
        <v>150</v>
      </c>
      <c r="R10" s="352"/>
      <c r="S10" s="164" t="s">
        <v>37</v>
      </c>
      <c r="T10" s="353" t="s">
        <v>150</v>
      </c>
      <c r="U10" s="353"/>
      <c r="V10" s="164" t="s">
        <v>37</v>
      </c>
      <c r="W10" s="353"/>
      <c r="X10" s="353"/>
      <c r="Y10" s="164" t="s">
        <v>37</v>
      </c>
      <c r="Z10" s="353" t="s">
        <v>151</v>
      </c>
      <c r="AA10" s="353"/>
      <c r="AB10" s="163" t="s">
        <v>37</v>
      </c>
      <c r="AC10" s="352" t="s">
        <v>150</v>
      </c>
      <c r="AD10" s="352"/>
      <c r="AE10" s="343"/>
      <c r="AF10" s="343"/>
      <c r="AG10" s="343"/>
      <c r="AH10" s="343"/>
      <c r="AI10" s="343"/>
      <c r="AJ10" s="343"/>
      <c r="AK10" s="343"/>
      <c r="AL10" s="343"/>
      <c r="AM10" s="343"/>
      <c r="AN10" s="343"/>
      <c r="AO10" s="343"/>
      <c r="AP10" s="343"/>
      <c r="AQ10" s="343"/>
    </row>
    <row r="11" spans="1:50" s="157" customFormat="1" ht="37.5" customHeight="1">
      <c r="A11" s="346"/>
      <c r="B11" s="346"/>
      <c r="C11" s="167"/>
      <c r="D11" s="168"/>
      <c r="E11" s="168"/>
      <c r="F11" s="168"/>
      <c r="G11" s="169" t="s">
        <v>39</v>
      </c>
      <c r="H11" s="354" t="s">
        <v>152</v>
      </c>
      <c r="I11" s="354"/>
      <c r="J11" s="169" t="s">
        <v>39</v>
      </c>
      <c r="K11" s="354" t="s">
        <v>153</v>
      </c>
      <c r="L11" s="354"/>
      <c r="M11" s="169" t="s">
        <v>39</v>
      </c>
      <c r="N11" s="354" t="s">
        <v>154</v>
      </c>
      <c r="O11" s="354"/>
      <c r="P11" s="169" t="s">
        <v>39</v>
      </c>
      <c r="Q11" s="354" t="s">
        <v>155</v>
      </c>
      <c r="R11" s="354"/>
      <c r="S11" s="49" t="s">
        <v>39</v>
      </c>
      <c r="T11" s="355"/>
      <c r="U11" s="355"/>
      <c r="V11" s="49" t="s">
        <v>39</v>
      </c>
      <c r="W11" s="355" t="s">
        <v>156</v>
      </c>
      <c r="X11" s="355"/>
      <c r="Y11" s="49" t="s">
        <v>39</v>
      </c>
      <c r="Z11" s="355"/>
      <c r="AA11" s="355"/>
      <c r="AB11" s="169" t="s">
        <v>39</v>
      </c>
      <c r="AC11" s="354" t="s">
        <v>157</v>
      </c>
      <c r="AD11" s="354"/>
      <c r="AE11" s="343"/>
      <c r="AF11" s="343"/>
      <c r="AG11" s="343"/>
      <c r="AH11" s="343"/>
      <c r="AI11" s="343"/>
      <c r="AJ11" s="343"/>
      <c r="AK11" s="343"/>
      <c r="AL11" s="343"/>
      <c r="AM11" s="343"/>
      <c r="AN11" s="343"/>
      <c r="AO11" s="343"/>
      <c r="AP11" s="343"/>
      <c r="AQ11" s="343"/>
    </row>
    <row r="12" spans="1:50" s="157" customFormat="1" ht="42" customHeight="1">
      <c r="A12" s="170" t="s">
        <v>43</v>
      </c>
      <c r="B12" s="356" t="s">
        <v>44</v>
      </c>
      <c r="C12" s="356"/>
      <c r="D12" s="356"/>
      <c r="E12" s="172" t="s">
        <v>46</v>
      </c>
      <c r="F12" s="173" t="s">
        <v>158</v>
      </c>
      <c r="G12" s="174" t="s">
        <v>45</v>
      </c>
      <c r="H12" s="171" t="s">
        <v>47</v>
      </c>
      <c r="I12" s="172" t="s">
        <v>48</v>
      </c>
      <c r="J12" s="174" t="s">
        <v>45</v>
      </c>
      <c r="K12" s="171" t="s">
        <v>47</v>
      </c>
      <c r="L12" s="172" t="s">
        <v>48</v>
      </c>
      <c r="M12" s="174" t="s">
        <v>45</v>
      </c>
      <c r="N12" s="171" t="s">
        <v>47</v>
      </c>
      <c r="O12" s="172" t="s">
        <v>48</v>
      </c>
      <c r="P12" s="174" t="s">
        <v>45</v>
      </c>
      <c r="Q12" s="171" t="s">
        <v>47</v>
      </c>
      <c r="R12" s="172" t="s">
        <v>48</v>
      </c>
      <c r="S12" s="174" t="s">
        <v>45</v>
      </c>
      <c r="T12" s="171" t="s">
        <v>47</v>
      </c>
      <c r="U12" s="172" t="s">
        <v>48</v>
      </c>
      <c r="V12" s="174" t="s">
        <v>45</v>
      </c>
      <c r="W12" s="171" t="s">
        <v>47</v>
      </c>
      <c r="X12" s="172" t="s">
        <v>48</v>
      </c>
      <c r="Y12" s="174" t="s">
        <v>45</v>
      </c>
      <c r="Z12" s="171" t="s">
        <v>47</v>
      </c>
      <c r="AA12" s="172" t="s">
        <v>48</v>
      </c>
      <c r="AB12" s="174" t="s">
        <v>45</v>
      </c>
      <c r="AC12" s="171" t="s">
        <v>47</v>
      </c>
      <c r="AD12" s="172" t="s">
        <v>48</v>
      </c>
      <c r="AE12" s="173" t="s">
        <v>159</v>
      </c>
      <c r="AF12" s="175" t="s">
        <v>160</v>
      </c>
      <c r="AG12" s="344"/>
      <c r="AH12" s="344"/>
      <c r="AI12" s="344"/>
      <c r="AJ12" s="176" t="s">
        <v>159</v>
      </c>
      <c r="AK12" s="177" t="s">
        <v>160</v>
      </c>
      <c r="AL12" s="177" t="s">
        <v>161</v>
      </c>
      <c r="AM12" s="177" t="s">
        <v>17</v>
      </c>
      <c r="AN12" s="177" t="s">
        <v>162</v>
      </c>
      <c r="AO12" s="178" t="s">
        <v>19</v>
      </c>
      <c r="AP12" s="344"/>
      <c r="AQ12" s="344"/>
    </row>
    <row r="13" spans="1:50" s="157" customFormat="1" ht="105" customHeight="1">
      <c r="A13" s="179">
        <v>1</v>
      </c>
      <c r="B13" s="180" t="s">
        <v>163</v>
      </c>
      <c r="C13" s="357" t="s">
        <v>164</v>
      </c>
      <c r="D13" s="357"/>
      <c r="E13" s="181" t="s">
        <v>165</v>
      </c>
      <c r="F13" s="182">
        <v>39</v>
      </c>
      <c r="G13" s="183">
        <v>39</v>
      </c>
      <c r="H13" s="184">
        <v>8641.85</v>
      </c>
      <c r="I13" s="185">
        <f t="shared" ref="I13:I18" si="0">G13*H13</f>
        <v>337032.15</v>
      </c>
      <c r="J13" s="183">
        <v>39</v>
      </c>
      <c r="K13" s="184">
        <v>6566.22</v>
      </c>
      <c r="L13" s="185">
        <f t="shared" ref="L13:L18" si="1">J13*K13</f>
        <v>256082.58000000002</v>
      </c>
      <c r="M13" s="183">
        <v>39</v>
      </c>
      <c r="N13" s="184">
        <v>6424.82</v>
      </c>
      <c r="O13" s="185">
        <f t="shared" ref="O13:O18" si="2">M13*N13</f>
        <v>250567.97999999998</v>
      </c>
      <c r="P13" s="183">
        <v>39</v>
      </c>
      <c r="Q13" s="184">
        <v>7157</v>
      </c>
      <c r="R13" s="185">
        <f t="shared" ref="R13:R18" si="3">P13*Q13</f>
        <v>279123</v>
      </c>
      <c r="S13" s="186">
        <v>39</v>
      </c>
      <c r="T13" s="187">
        <v>8055</v>
      </c>
      <c r="U13" s="188">
        <f t="shared" ref="U13:U18" si="4">S13*T13</f>
        <v>314145</v>
      </c>
      <c r="V13" s="189">
        <v>39</v>
      </c>
      <c r="W13" s="189">
        <v>9460.6</v>
      </c>
      <c r="X13" s="189">
        <f t="shared" ref="X13:X18" si="5">V13*W13</f>
        <v>368963.4</v>
      </c>
      <c r="Y13" s="186">
        <v>39</v>
      </c>
      <c r="Z13" s="187">
        <v>6317.66</v>
      </c>
      <c r="AA13" s="188">
        <f t="shared" ref="AA13:AA18" si="6">Y13*Z13</f>
        <v>246388.74</v>
      </c>
      <c r="AB13" s="183">
        <v>39</v>
      </c>
      <c r="AC13" s="184">
        <v>11066.93</v>
      </c>
      <c r="AD13" s="185">
        <f t="shared" ref="AD13:AD18" si="7">AB13*AC13</f>
        <v>431610.27</v>
      </c>
      <c r="AE13" s="190" t="s">
        <v>166</v>
      </c>
      <c r="AF13" s="191" t="s">
        <v>167</v>
      </c>
      <c r="AG13" s="192">
        <v>1389986.22</v>
      </c>
      <c r="AH13" s="192">
        <v>0</v>
      </c>
      <c r="AI13" s="191">
        <f t="shared" ref="AI13:AI44" si="8">AG13-AH13</f>
        <v>1389986.22</v>
      </c>
      <c r="AJ13" s="193"/>
      <c r="AK13" s="193"/>
      <c r="AL13" s="193"/>
      <c r="AM13" s="193"/>
      <c r="AN13" s="194"/>
      <c r="AO13" s="195"/>
      <c r="AP13" s="196">
        <f t="shared" ref="AP13:AP18" si="9">MIN(H13,K13,N13,Q13,T13,W13,Z13,AC13)</f>
        <v>6317.66</v>
      </c>
      <c r="AQ13" s="196">
        <f t="shared" ref="AQ13:AQ18" si="10">AP13*F13</f>
        <v>246388.74</v>
      </c>
    </row>
    <row r="14" spans="1:50" s="157" customFormat="1" ht="105" customHeight="1">
      <c r="A14" s="179">
        <v>2</v>
      </c>
      <c r="B14" s="180" t="s">
        <v>168</v>
      </c>
      <c r="C14" s="357" t="s">
        <v>164</v>
      </c>
      <c r="D14" s="357"/>
      <c r="E14" s="181" t="s">
        <v>165</v>
      </c>
      <c r="F14" s="182">
        <v>39</v>
      </c>
      <c r="G14" s="183">
        <v>39</v>
      </c>
      <c r="H14" s="184">
        <v>31867.99</v>
      </c>
      <c r="I14" s="185">
        <f t="shared" si="0"/>
        <v>1242851.6100000001</v>
      </c>
      <c r="J14" s="183">
        <v>39</v>
      </c>
      <c r="K14" s="184">
        <v>29144.79</v>
      </c>
      <c r="L14" s="185">
        <f t="shared" si="1"/>
        <v>1136646.81</v>
      </c>
      <c r="M14" s="183">
        <v>39</v>
      </c>
      <c r="N14" s="184">
        <v>21184.62</v>
      </c>
      <c r="O14" s="185">
        <f t="shared" si="2"/>
        <v>826200.17999999993</v>
      </c>
      <c r="P14" s="183">
        <v>39</v>
      </c>
      <c r="Q14" s="184">
        <v>25222</v>
      </c>
      <c r="R14" s="185">
        <f t="shared" si="3"/>
        <v>983658</v>
      </c>
      <c r="S14" s="186">
        <v>39</v>
      </c>
      <c r="T14" s="187">
        <v>26581</v>
      </c>
      <c r="U14" s="188">
        <f t="shared" si="4"/>
        <v>1036659</v>
      </c>
      <c r="V14" s="189">
        <v>39</v>
      </c>
      <c r="W14" s="189">
        <v>32458.94</v>
      </c>
      <c r="X14" s="189">
        <f t="shared" si="5"/>
        <v>1265898.6599999999</v>
      </c>
      <c r="Y14" s="186">
        <v>39</v>
      </c>
      <c r="Z14" s="187">
        <v>21182.2</v>
      </c>
      <c r="AA14" s="188">
        <f t="shared" si="6"/>
        <v>826105.8</v>
      </c>
      <c r="AB14" s="183">
        <v>39</v>
      </c>
      <c r="AC14" s="184">
        <v>38252.559999999998</v>
      </c>
      <c r="AD14" s="185">
        <f t="shared" si="7"/>
        <v>1491849.8399999999</v>
      </c>
      <c r="AE14" s="197" t="s">
        <v>169</v>
      </c>
      <c r="AF14" s="191" t="s">
        <v>170</v>
      </c>
      <c r="AG14" s="198">
        <v>2435708.48</v>
      </c>
      <c r="AH14" s="198">
        <v>0</v>
      </c>
      <c r="AI14" s="191">
        <f t="shared" si="8"/>
        <v>2435708.48</v>
      </c>
      <c r="AJ14" s="193"/>
      <c r="AK14" s="193"/>
      <c r="AL14" s="193"/>
      <c r="AM14" s="193"/>
      <c r="AN14" s="194"/>
      <c r="AO14" s="195"/>
      <c r="AP14" s="196">
        <f t="shared" si="9"/>
        <v>21182.2</v>
      </c>
      <c r="AQ14" s="196">
        <f t="shared" si="10"/>
        <v>826105.8</v>
      </c>
    </row>
    <row r="15" spans="1:50" s="157" customFormat="1" ht="105" customHeight="1">
      <c r="A15" s="179">
        <v>3</v>
      </c>
      <c r="B15" s="180" t="s">
        <v>171</v>
      </c>
      <c r="C15" s="357" t="s">
        <v>172</v>
      </c>
      <c r="D15" s="357"/>
      <c r="E15" s="181" t="s">
        <v>165</v>
      </c>
      <c r="F15" s="182">
        <v>13</v>
      </c>
      <c r="G15" s="183">
        <v>13</v>
      </c>
      <c r="H15" s="184">
        <v>4983.67</v>
      </c>
      <c r="I15" s="185">
        <f t="shared" si="0"/>
        <v>64787.71</v>
      </c>
      <c r="J15" s="183">
        <v>13</v>
      </c>
      <c r="K15" s="184">
        <v>4328.16</v>
      </c>
      <c r="L15" s="185">
        <f t="shared" si="1"/>
        <v>56266.080000000002</v>
      </c>
      <c r="M15" s="183">
        <v>13</v>
      </c>
      <c r="N15" s="184">
        <v>4039.9</v>
      </c>
      <c r="O15" s="185">
        <f t="shared" si="2"/>
        <v>52518.700000000004</v>
      </c>
      <c r="P15" s="183">
        <v>13</v>
      </c>
      <c r="Q15" s="184">
        <v>3471</v>
      </c>
      <c r="R15" s="185">
        <f t="shared" si="3"/>
        <v>45123</v>
      </c>
      <c r="S15" s="186">
        <v>13</v>
      </c>
      <c r="T15" s="187">
        <v>4093</v>
      </c>
      <c r="U15" s="188">
        <f t="shared" si="4"/>
        <v>53209</v>
      </c>
      <c r="V15" s="189">
        <v>13</v>
      </c>
      <c r="W15" s="189">
        <v>5724.86</v>
      </c>
      <c r="X15" s="189">
        <f t="shared" si="5"/>
        <v>74423.179999999993</v>
      </c>
      <c r="Y15" s="186">
        <v>13</v>
      </c>
      <c r="Z15" s="187">
        <v>5213.2299999999996</v>
      </c>
      <c r="AA15" s="188">
        <f t="shared" si="6"/>
        <v>67771.989999999991</v>
      </c>
      <c r="AB15" s="183">
        <v>13</v>
      </c>
      <c r="AC15" s="184">
        <v>6211.57</v>
      </c>
      <c r="AD15" s="185">
        <f t="shared" si="7"/>
        <v>80750.41</v>
      </c>
      <c r="AE15" s="197" t="s">
        <v>173</v>
      </c>
      <c r="AF15" s="191" t="s">
        <v>174</v>
      </c>
      <c r="AG15" s="198">
        <v>1057533.69</v>
      </c>
      <c r="AH15" s="198">
        <v>0</v>
      </c>
      <c r="AI15" s="191">
        <f t="shared" si="8"/>
        <v>1057533.69</v>
      </c>
      <c r="AJ15" s="193"/>
      <c r="AK15" s="193"/>
      <c r="AL15" s="193"/>
      <c r="AM15" s="193"/>
      <c r="AN15" s="194"/>
      <c r="AO15" s="195"/>
      <c r="AP15" s="196">
        <f t="shared" si="9"/>
        <v>3471</v>
      </c>
      <c r="AQ15" s="196">
        <f t="shared" si="10"/>
        <v>45123</v>
      </c>
    </row>
    <row r="16" spans="1:50" s="157" customFormat="1" ht="105" customHeight="1">
      <c r="A16" s="179">
        <v>4</v>
      </c>
      <c r="B16" s="180" t="s">
        <v>175</v>
      </c>
      <c r="C16" s="357" t="s">
        <v>172</v>
      </c>
      <c r="D16" s="357"/>
      <c r="E16" s="181" t="s">
        <v>165</v>
      </c>
      <c r="F16" s="182">
        <v>13</v>
      </c>
      <c r="G16" s="183">
        <v>13</v>
      </c>
      <c r="H16" s="184">
        <v>10192.379999999999</v>
      </c>
      <c r="I16" s="185">
        <f t="shared" si="0"/>
        <v>132500.94</v>
      </c>
      <c r="J16" s="183">
        <v>13</v>
      </c>
      <c r="K16" s="184">
        <v>5597.07</v>
      </c>
      <c r="L16" s="185">
        <f t="shared" si="1"/>
        <v>72761.91</v>
      </c>
      <c r="M16" s="183">
        <v>13</v>
      </c>
      <c r="N16" s="184">
        <v>7237.68</v>
      </c>
      <c r="O16" s="185">
        <f t="shared" si="2"/>
        <v>94089.84</v>
      </c>
      <c r="P16" s="183">
        <v>13</v>
      </c>
      <c r="Q16" s="184">
        <v>6220</v>
      </c>
      <c r="R16" s="185">
        <f t="shared" si="3"/>
        <v>80860</v>
      </c>
      <c r="S16" s="186">
        <v>13</v>
      </c>
      <c r="T16" s="187">
        <v>5505</v>
      </c>
      <c r="U16" s="188">
        <f t="shared" si="4"/>
        <v>71565</v>
      </c>
      <c r="V16" s="189">
        <v>13</v>
      </c>
      <c r="W16" s="189">
        <v>10259.530000000001</v>
      </c>
      <c r="X16" s="189">
        <f t="shared" si="5"/>
        <v>133373.89000000001</v>
      </c>
      <c r="Y16" s="186">
        <v>13</v>
      </c>
      <c r="Z16" s="187">
        <v>9088.4</v>
      </c>
      <c r="AA16" s="188">
        <f t="shared" si="6"/>
        <v>118149.2</v>
      </c>
      <c r="AB16" s="183">
        <v>13</v>
      </c>
      <c r="AC16" s="184">
        <v>11741.73</v>
      </c>
      <c r="AD16" s="185">
        <f t="shared" si="7"/>
        <v>152642.49</v>
      </c>
      <c r="AE16" s="197" t="s">
        <v>176</v>
      </c>
      <c r="AF16" s="191" t="s">
        <v>177</v>
      </c>
      <c r="AG16" s="198">
        <v>1213742.6599999999</v>
      </c>
      <c r="AH16" s="198">
        <v>0</v>
      </c>
      <c r="AI16" s="191">
        <f t="shared" si="8"/>
        <v>1213742.6599999999</v>
      </c>
      <c r="AJ16" s="193"/>
      <c r="AK16" s="193"/>
      <c r="AL16" s="193"/>
      <c r="AM16" s="193"/>
      <c r="AN16" s="194"/>
      <c r="AO16" s="195"/>
      <c r="AP16" s="196">
        <f t="shared" si="9"/>
        <v>5505</v>
      </c>
      <c r="AQ16" s="196">
        <f t="shared" si="10"/>
        <v>71565</v>
      </c>
    </row>
    <row r="17" spans="1:43" s="157" customFormat="1" ht="105" customHeight="1">
      <c r="A17" s="179">
        <v>5</v>
      </c>
      <c r="B17" s="180" t="s">
        <v>178</v>
      </c>
      <c r="C17" s="357" t="s">
        <v>172</v>
      </c>
      <c r="D17" s="357"/>
      <c r="E17" s="181" t="s">
        <v>165</v>
      </c>
      <c r="F17" s="182">
        <v>13</v>
      </c>
      <c r="G17" s="183">
        <v>13</v>
      </c>
      <c r="H17" s="184">
        <v>4461.12</v>
      </c>
      <c r="I17" s="185">
        <f t="shared" si="0"/>
        <v>57994.559999999998</v>
      </c>
      <c r="J17" s="183">
        <v>13</v>
      </c>
      <c r="K17" s="184">
        <v>3927.44</v>
      </c>
      <c r="L17" s="185">
        <f t="shared" si="1"/>
        <v>51056.72</v>
      </c>
      <c r="M17" s="199">
        <v>13</v>
      </c>
      <c r="N17" s="200">
        <v>3482.28</v>
      </c>
      <c r="O17" s="201">
        <f t="shared" si="2"/>
        <v>45269.64</v>
      </c>
      <c r="P17" s="183">
        <v>13</v>
      </c>
      <c r="Q17" s="184">
        <v>2993</v>
      </c>
      <c r="R17" s="185">
        <f t="shared" si="3"/>
        <v>38909</v>
      </c>
      <c r="S17" s="186">
        <v>13</v>
      </c>
      <c r="T17" s="187">
        <v>3706</v>
      </c>
      <c r="U17" s="188">
        <f t="shared" si="4"/>
        <v>48178</v>
      </c>
      <c r="V17" s="189">
        <v>13</v>
      </c>
      <c r="W17" s="189">
        <v>4936</v>
      </c>
      <c r="X17" s="189">
        <f t="shared" si="5"/>
        <v>64168</v>
      </c>
      <c r="Y17" s="186">
        <v>13</v>
      </c>
      <c r="Z17" s="187">
        <v>4372.55</v>
      </c>
      <c r="AA17" s="188">
        <f t="shared" si="6"/>
        <v>56843.15</v>
      </c>
      <c r="AB17" s="183">
        <v>13</v>
      </c>
      <c r="AC17" s="184">
        <v>5355.65</v>
      </c>
      <c r="AD17" s="185">
        <f t="shared" si="7"/>
        <v>69623.45</v>
      </c>
      <c r="AE17" s="197" t="s">
        <v>179</v>
      </c>
      <c r="AF17" s="191" t="s">
        <v>180</v>
      </c>
      <c r="AG17" s="198">
        <v>88132.185577664801</v>
      </c>
      <c r="AH17" s="198">
        <v>0</v>
      </c>
      <c r="AI17" s="191">
        <f t="shared" si="8"/>
        <v>88132.185577664801</v>
      </c>
      <c r="AJ17" s="193"/>
      <c r="AK17" s="193"/>
      <c r="AL17" s="193"/>
      <c r="AM17" s="193"/>
      <c r="AN17" s="194"/>
      <c r="AO17" s="195"/>
      <c r="AP17" s="196">
        <f t="shared" si="9"/>
        <v>2993</v>
      </c>
      <c r="AQ17" s="196">
        <f t="shared" si="10"/>
        <v>38909</v>
      </c>
    </row>
    <row r="18" spans="1:43" s="157" customFormat="1" ht="105" customHeight="1">
      <c r="A18" s="179">
        <v>6</v>
      </c>
      <c r="B18" s="180" t="s">
        <v>181</v>
      </c>
      <c r="C18" s="357" t="s">
        <v>172</v>
      </c>
      <c r="D18" s="357"/>
      <c r="E18" s="181" t="s">
        <v>165</v>
      </c>
      <c r="F18" s="182">
        <v>26</v>
      </c>
      <c r="G18" s="183">
        <v>26</v>
      </c>
      <c r="H18" s="184">
        <v>3964.38</v>
      </c>
      <c r="I18" s="185">
        <f t="shared" si="0"/>
        <v>103073.88</v>
      </c>
      <c r="J18" s="183">
        <v>26</v>
      </c>
      <c r="K18" s="202">
        <v>3101.42</v>
      </c>
      <c r="L18" s="185">
        <f t="shared" si="1"/>
        <v>80636.92</v>
      </c>
      <c r="M18" s="203">
        <v>26</v>
      </c>
      <c r="N18" s="204">
        <v>1391.77</v>
      </c>
      <c r="O18" s="205">
        <f t="shared" si="2"/>
        <v>36186.019999999997</v>
      </c>
      <c r="P18" s="199">
        <v>26</v>
      </c>
      <c r="Q18" s="200">
        <v>1195</v>
      </c>
      <c r="R18" s="185">
        <f t="shared" si="3"/>
        <v>31070</v>
      </c>
      <c r="S18" s="186">
        <v>26</v>
      </c>
      <c r="T18" s="187">
        <v>7446</v>
      </c>
      <c r="U18" s="188">
        <f t="shared" si="4"/>
        <v>193596</v>
      </c>
      <c r="V18" s="189">
        <v>26</v>
      </c>
      <c r="W18" s="189">
        <v>2435.1999999999998</v>
      </c>
      <c r="X18" s="189">
        <f t="shared" si="5"/>
        <v>63315.199999999997</v>
      </c>
      <c r="Y18" s="186">
        <v>26</v>
      </c>
      <c r="Z18" s="187">
        <v>1745.98</v>
      </c>
      <c r="AA18" s="188">
        <f t="shared" si="6"/>
        <v>45395.48</v>
      </c>
      <c r="AB18" s="183">
        <v>26</v>
      </c>
      <c r="AC18" s="184">
        <v>4323.17</v>
      </c>
      <c r="AD18" s="185">
        <f t="shared" si="7"/>
        <v>112402.42</v>
      </c>
      <c r="AE18" s="190"/>
      <c r="AF18" s="191"/>
      <c r="AG18" s="191"/>
      <c r="AH18" s="191"/>
      <c r="AI18" s="191">
        <f t="shared" si="8"/>
        <v>0</v>
      </c>
      <c r="AJ18" s="193"/>
      <c r="AK18" s="193"/>
      <c r="AL18" s="193"/>
      <c r="AM18" s="193"/>
      <c r="AN18" s="194"/>
      <c r="AO18" s="195"/>
      <c r="AP18" s="196">
        <f t="shared" si="9"/>
        <v>1195</v>
      </c>
      <c r="AQ18" s="196">
        <f t="shared" si="10"/>
        <v>31070</v>
      </c>
    </row>
    <row r="19" spans="1:43" s="157" customFormat="1" ht="105" customHeight="1">
      <c r="A19" s="179">
        <v>7</v>
      </c>
      <c r="B19" s="180" t="s">
        <v>182</v>
      </c>
      <c r="C19" s="357" t="s">
        <v>183</v>
      </c>
      <c r="D19" s="357"/>
      <c r="E19" s="181" t="s">
        <v>165</v>
      </c>
      <c r="F19" s="182" t="s">
        <v>184</v>
      </c>
      <c r="G19" s="358" t="s">
        <v>185</v>
      </c>
      <c r="H19" s="358"/>
      <c r="I19" s="358"/>
      <c r="J19" s="359" t="s">
        <v>185</v>
      </c>
      <c r="K19" s="359"/>
      <c r="L19" s="359"/>
      <c r="M19" s="360" t="s">
        <v>185</v>
      </c>
      <c r="N19" s="360"/>
      <c r="O19" s="360"/>
      <c r="P19" s="360" t="s">
        <v>185</v>
      </c>
      <c r="Q19" s="360"/>
      <c r="R19" s="360"/>
      <c r="S19" s="360" t="s">
        <v>185</v>
      </c>
      <c r="T19" s="360"/>
      <c r="U19" s="360"/>
      <c r="V19" s="360" t="s">
        <v>185</v>
      </c>
      <c r="W19" s="360"/>
      <c r="X19" s="360"/>
      <c r="Y19" s="360" t="s">
        <v>185</v>
      </c>
      <c r="Z19" s="360"/>
      <c r="AA19" s="360"/>
      <c r="AB19" s="360" t="s">
        <v>185</v>
      </c>
      <c r="AC19" s="360"/>
      <c r="AD19" s="360"/>
      <c r="AE19" s="190"/>
      <c r="AF19" s="191"/>
      <c r="AG19" s="191"/>
      <c r="AH19" s="191"/>
      <c r="AI19" s="191">
        <f t="shared" si="8"/>
        <v>0</v>
      </c>
      <c r="AJ19" s="193"/>
      <c r="AK19" s="193"/>
      <c r="AL19" s="193"/>
      <c r="AM19" s="193"/>
      <c r="AN19" s="194"/>
      <c r="AO19" s="195"/>
      <c r="AP19" s="196">
        <f>MIN(H19,J19,N19,Q19,T19,W19,Z19,AC19)</f>
        <v>0</v>
      </c>
      <c r="AQ19" s="196" t="str">
        <f>IFERROR(AP19*F19,"")</f>
        <v/>
      </c>
    </row>
    <row r="20" spans="1:43" s="157" customFormat="1" ht="105" customHeight="1">
      <c r="A20" s="179">
        <v>8</v>
      </c>
      <c r="B20" s="180" t="s">
        <v>186</v>
      </c>
      <c r="C20" s="357" t="s">
        <v>187</v>
      </c>
      <c r="D20" s="357"/>
      <c r="E20" s="181" t="s">
        <v>165</v>
      </c>
      <c r="F20" s="182">
        <v>26</v>
      </c>
      <c r="G20" s="183">
        <v>26</v>
      </c>
      <c r="H20" s="184">
        <v>12713.88</v>
      </c>
      <c r="I20" s="206">
        <f t="shared" ref="I20:I26" si="11">G20*H20</f>
        <v>330560.88</v>
      </c>
      <c r="J20" s="183">
        <v>26</v>
      </c>
      <c r="K20" s="202">
        <v>9369.8700000000008</v>
      </c>
      <c r="L20" s="185">
        <f t="shared" ref="L20:L26" si="12">J20*K20</f>
        <v>243616.62000000002</v>
      </c>
      <c r="M20" s="199">
        <v>26</v>
      </c>
      <c r="N20" s="200">
        <v>5187.1099999999997</v>
      </c>
      <c r="O20" s="201">
        <f t="shared" ref="O20:O26" si="13">M20*N20</f>
        <v>134864.85999999999</v>
      </c>
      <c r="P20" s="183">
        <v>26</v>
      </c>
      <c r="Q20" s="184">
        <v>9835</v>
      </c>
      <c r="R20" s="185">
        <f t="shared" ref="R20:R26" si="14">P20*Q20</f>
        <v>255710</v>
      </c>
      <c r="S20" s="186">
        <v>28</v>
      </c>
      <c r="T20" s="187">
        <v>9773</v>
      </c>
      <c r="U20" s="188">
        <f t="shared" ref="U20:U26" si="15">S20*T20</f>
        <v>273644</v>
      </c>
      <c r="V20" s="189">
        <v>26</v>
      </c>
      <c r="W20" s="189">
        <v>10242.25</v>
      </c>
      <c r="X20" s="189">
        <f t="shared" ref="X20:X26" si="16">V20*W20</f>
        <v>266298.5</v>
      </c>
      <c r="Y20" s="186">
        <v>26</v>
      </c>
      <c r="Z20" s="187">
        <v>9016.9500000000007</v>
      </c>
      <c r="AA20" s="188">
        <f t="shared" ref="AA20:AA26" si="17">Y20*Z20</f>
        <v>234440.7</v>
      </c>
      <c r="AB20" s="183">
        <v>26</v>
      </c>
      <c r="AC20" s="184">
        <v>12047.15</v>
      </c>
      <c r="AD20" s="185">
        <f t="shared" ref="AD20:AD26" si="18">AB20*AC20</f>
        <v>313225.89999999997</v>
      </c>
      <c r="AE20" s="190"/>
      <c r="AF20" s="191"/>
      <c r="AG20" s="191"/>
      <c r="AH20" s="191"/>
      <c r="AI20" s="191">
        <f t="shared" si="8"/>
        <v>0</v>
      </c>
      <c r="AJ20" s="193"/>
      <c r="AK20" s="193"/>
      <c r="AL20" s="193"/>
      <c r="AM20" s="193"/>
      <c r="AN20" s="194"/>
      <c r="AO20" s="195"/>
      <c r="AP20" s="196">
        <f t="shared" ref="AP20:AP51" si="19">MIN(H20,K20,N20,Q20,T20,W20,Z20,AC20)</f>
        <v>5187.1099999999997</v>
      </c>
      <c r="AQ20" s="196">
        <f t="shared" ref="AQ20:AQ26" si="20">AP20*F20</f>
        <v>134864.85999999999</v>
      </c>
    </row>
    <row r="21" spans="1:43" s="157" customFormat="1" ht="105" customHeight="1">
      <c r="A21" s="179">
        <v>9</v>
      </c>
      <c r="B21" s="180" t="s">
        <v>188</v>
      </c>
      <c r="C21" s="357" t="s">
        <v>187</v>
      </c>
      <c r="D21" s="357"/>
      <c r="E21" s="181" t="s">
        <v>165</v>
      </c>
      <c r="F21" s="182">
        <v>13</v>
      </c>
      <c r="G21" s="183">
        <v>13</v>
      </c>
      <c r="H21" s="184">
        <v>23607.73</v>
      </c>
      <c r="I21" s="185">
        <f t="shared" si="11"/>
        <v>306900.49</v>
      </c>
      <c r="J21" s="183">
        <v>13</v>
      </c>
      <c r="K21" s="184">
        <v>20513.89</v>
      </c>
      <c r="L21" s="185">
        <f t="shared" si="12"/>
        <v>266680.57</v>
      </c>
      <c r="M21" s="183">
        <v>13</v>
      </c>
      <c r="N21" s="184">
        <v>17831.36</v>
      </c>
      <c r="O21" s="185">
        <f t="shared" si="13"/>
        <v>231807.68</v>
      </c>
      <c r="P21" s="183">
        <v>13</v>
      </c>
      <c r="Q21" s="184">
        <v>21169</v>
      </c>
      <c r="R21" s="185">
        <f t="shared" si="14"/>
        <v>275197</v>
      </c>
      <c r="S21" s="186">
        <v>13</v>
      </c>
      <c r="T21" s="187">
        <v>21074</v>
      </c>
      <c r="U21" s="188">
        <f t="shared" si="15"/>
        <v>273962</v>
      </c>
      <c r="V21" s="189">
        <v>13</v>
      </c>
      <c r="W21" s="189">
        <v>21369.51</v>
      </c>
      <c r="X21" s="189">
        <f t="shared" si="16"/>
        <v>277803.63</v>
      </c>
      <c r="Y21" s="186">
        <v>13</v>
      </c>
      <c r="Z21" s="187">
        <v>20606.2</v>
      </c>
      <c r="AA21" s="188">
        <f t="shared" si="17"/>
        <v>267880.60000000003</v>
      </c>
      <c r="AB21" s="183">
        <v>13</v>
      </c>
      <c r="AC21" s="184">
        <v>30161.56</v>
      </c>
      <c r="AD21" s="185">
        <f t="shared" si="18"/>
        <v>392100.28</v>
      </c>
      <c r="AE21" s="190"/>
      <c r="AF21" s="191"/>
      <c r="AG21" s="191"/>
      <c r="AH21" s="191"/>
      <c r="AI21" s="191">
        <f t="shared" si="8"/>
        <v>0</v>
      </c>
      <c r="AJ21" s="193"/>
      <c r="AK21" s="193"/>
      <c r="AL21" s="193"/>
      <c r="AM21" s="193"/>
      <c r="AN21" s="194"/>
      <c r="AO21" s="195"/>
      <c r="AP21" s="196">
        <f t="shared" si="19"/>
        <v>17831.36</v>
      </c>
      <c r="AQ21" s="196">
        <f t="shared" si="20"/>
        <v>231807.68</v>
      </c>
    </row>
    <row r="22" spans="1:43" s="157" customFormat="1" ht="105" customHeight="1">
      <c r="A22" s="179">
        <v>10</v>
      </c>
      <c r="B22" s="180" t="s">
        <v>189</v>
      </c>
      <c r="C22" s="357" t="s">
        <v>187</v>
      </c>
      <c r="D22" s="357"/>
      <c r="E22" s="181" t="s">
        <v>165</v>
      </c>
      <c r="F22" s="182">
        <v>13</v>
      </c>
      <c r="G22" s="183">
        <v>13</v>
      </c>
      <c r="H22" s="184">
        <v>7056.13</v>
      </c>
      <c r="I22" s="185">
        <f t="shared" si="11"/>
        <v>91729.69</v>
      </c>
      <c r="J22" s="183">
        <v>13</v>
      </c>
      <c r="K22" s="184">
        <v>3236.61</v>
      </c>
      <c r="L22" s="185">
        <f t="shared" si="12"/>
        <v>42075.93</v>
      </c>
      <c r="M22" s="183">
        <v>13</v>
      </c>
      <c r="N22" s="184">
        <v>3651.75</v>
      </c>
      <c r="O22" s="185">
        <f t="shared" si="13"/>
        <v>47472.75</v>
      </c>
      <c r="P22" s="183">
        <v>13</v>
      </c>
      <c r="Q22" s="184">
        <v>3484</v>
      </c>
      <c r="R22" s="185">
        <f t="shared" si="14"/>
        <v>45292</v>
      </c>
      <c r="S22" s="186">
        <v>13</v>
      </c>
      <c r="T22" s="187">
        <v>4566</v>
      </c>
      <c r="U22" s="188">
        <f t="shared" si="15"/>
        <v>59358</v>
      </c>
      <c r="V22" s="189">
        <v>13</v>
      </c>
      <c r="W22" s="189">
        <v>3729.61</v>
      </c>
      <c r="X22" s="189">
        <f t="shared" si="16"/>
        <v>48484.93</v>
      </c>
      <c r="Y22" s="186">
        <v>13</v>
      </c>
      <c r="Z22" s="187">
        <v>2326.2199999999998</v>
      </c>
      <c r="AA22" s="188">
        <f t="shared" si="17"/>
        <v>30240.859999999997</v>
      </c>
      <c r="AB22" s="183">
        <v>13</v>
      </c>
      <c r="AC22" s="184">
        <v>4726.42</v>
      </c>
      <c r="AD22" s="185">
        <f t="shared" si="18"/>
        <v>61443.46</v>
      </c>
      <c r="AE22" s="190"/>
      <c r="AF22" s="191"/>
      <c r="AG22" s="191"/>
      <c r="AH22" s="191"/>
      <c r="AI22" s="191">
        <f t="shared" si="8"/>
        <v>0</v>
      </c>
      <c r="AJ22" s="193"/>
      <c r="AK22" s="193"/>
      <c r="AL22" s="193"/>
      <c r="AM22" s="193"/>
      <c r="AN22" s="194"/>
      <c r="AO22" s="195"/>
      <c r="AP22" s="196">
        <f t="shared" si="19"/>
        <v>2326.2199999999998</v>
      </c>
      <c r="AQ22" s="196">
        <f t="shared" si="20"/>
        <v>30240.859999999997</v>
      </c>
    </row>
    <row r="23" spans="1:43" s="157" customFormat="1" ht="105" customHeight="1">
      <c r="A23" s="179">
        <v>11</v>
      </c>
      <c r="B23" s="180" t="s">
        <v>190</v>
      </c>
      <c r="C23" s="357" t="s">
        <v>172</v>
      </c>
      <c r="D23" s="357"/>
      <c r="E23" s="181" t="s">
        <v>165</v>
      </c>
      <c r="F23" s="182">
        <v>13</v>
      </c>
      <c r="G23" s="207">
        <v>13</v>
      </c>
      <c r="H23" s="208">
        <v>10347.43</v>
      </c>
      <c r="I23" s="208">
        <f t="shared" si="11"/>
        <v>134516.59</v>
      </c>
      <c r="J23" s="199">
        <v>13</v>
      </c>
      <c r="K23" s="209">
        <v>5597.07</v>
      </c>
      <c r="L23" s="185">
        <f t="shared" si="12"/>
        <v>72761.91</v>
      </c>
      <c r="M23" s="199">
        <v>13</v>
      </c>
      <c r="N23" s="200">
        <v>7397</v>
      </c>
      <c r="O23" s="201">
        <f t="shared" si="13"/>
        <v>96161</v>
      </c>
      <c r="P23" s="183">
        <v>13</v>
      </c>
      <c r="Q23" s="210">
        <v>6202</v>
      </c>
      <c r="R23" s="185">
        <f t="shared" si="14"/>
        <v>80626</v>
      </c>
      <c r="S23" s="186">
        <v>13</v>
      </c>
      <c r="T23" s="187">
        <v>5588</v>
      </c>
      <c r="U23" s="188">
        <f t="shared" si="15"/>
        <v>72644</v>
      </c>
      <c r="V23" s="189">
        <v>13</v>
      </c>
      <c r="W23" s="189">
        <v>10489.12</v>
      </c>
      <c r="X23" s="189">
        <f t="shared" si="16"/>
        <v>136358.56</v>
      </c>
      <c r="Y23" s="186">
        <v>13</v>
      </c>
      <c r="Z23" s="187">
        <v>9291.7900000000009</v>
      </c>
      <c r="AA23" s="188">
        <f t="shared" si="17"/>
        <v>120793.27000000002</v>
      </c>
      <c r="AB23" s="211">
        <v>13</v>
      </c>
      <c r="AC23" s="212">
        <v>12004.49</v>
      </c>
      <c r="AD23" s="213">
        <f t="shared" si="18"/>
        <v>156058.37</v>
      </c>
      <c r="AE23" s="190"/>
      <c r="AF23" s="191"/>
      <c r="AG23" s="191"/>
      <c r="AH23" s="191"/>
      <c r="AI23" s="191">
        <f t="shared" si="8"/>
        <v>0</v>
      </c>
      <c r="AJ23" s="193"/>
      <c r="AK23" s="193"/>
      <c r="AL23" s="193"/>
      <c r="AM23" s="193"/>
      <c r="AN23" s="194"/>
      <c r="AO23" s="195"/>
      <c r="AP23" s="196">
        <f t="shared" si="19"/>
        <v>5588</v>
      </c>
      <c r="AQ23" s="196">
        <f t="shared" si="20"/>
        <v>72644</v>
      </c>
    </row>
    <row r="24" spans="1:43" s="157" customFormat="1" ht="105" customHeight="1">
      <c r="A24" s="179">
        <v>12</v>
      </c>
      <c r="B24" s="180" t="s">
        <v>191</v>
      </c>
      <c r="C24" s="357" t="s">
        <v>172</v>
      </c>
      <c r="D24" s="357"/>
      <c r="E24" s="181" t="s">
        <v>165</v>
      </c>
      <c r="F24" s="182">
        <v>13</v>
      </c>
      <c r="G24" s="183">
        <v>13</v>
      </c>
      <c r="H24" s="184">
        <v>3772.37</v>
      </c>
      <c r="I24" s="185">
        <f t="shared" si="11"/>
        <v>49040.81</v>
      </c>
      <c r="J24" s="183">
        <v>13</v>
      </c>
      <c r="K24" s="184">
        <v>3355.03</v>
      </c>
      <c r="L24" s="185">
        <f t="shared" si="12"/>
        <v>43615.39</v>
      </c>
      <c r="M24" s="183">
        <v>13</v>
      </c>
      <c r="N24" s="184">
        <v>2799.48</v>
      </c>
      <c r="O24" s="185">
        <f t="shared" si="13"/>
        <v>36393.24</v>
      </c>
      <c r="P24" s="183">
        <v>13</v>
      </c>
      <c r="Q24" s="184">
        <v>2405</v>
      </c>
      <c r="R24" s="185">
        <f t="shared" si="14"/>
        <v>31265</v>
      </c>
      <c r="S24" s="186">
        <v>13</v>
      </c>
      <c r="T24" s="187">
        <v>3232</v>
      </c>
      <c r="U24" s="188">
        <f t="shared" si="15"/>
        <v>42016</v>
      </c>
      <c r="V24" s="189">
        <v>13</v>
      </c>
      <c r="W24" s="189">
        <v>3966.83</v>
      </c>
      <c r="X24" s="189">
        <f t="shared" si="16"/>
        <v>51568.79</v>
      </c>
      <c r="Y24" s="186">
        <v>13</v>
      </c>
      <c r="Z24" s="187">
        <v>3514.02</v>
      </c>
      <c r="AA24" s="188">
        <f t="shared" si="17"/>
        <v>45682.26</v>
      </c>
      <c r="AB24" s="183">
        <v>13</v>
      </c>
      <c r="AC24" s="184">
        <v>4304.08</v>
      </c>
      <c r="AD24" s="185">
        <f t="shared" si="18"/>
        <v>55953.04</v>
      </c>
      <c r="AE24" s="190"/>
      <c r="AF24" s="191"/>
      <c r="AG24" s="191"/>
      <c r="AH24" s="191"/>
      <c r="AI24" s="191">
        <f t="shared" si="8"/>
        <v>0</v>
      </c>
      <c r="AJ24" s="193"/>
      <c r="AK24" s="193"/>
      <c r="AL24" s="193"/>
      <c r="AM24" s="193"/>
      <c r="AN24" s="194"/>
      <c r="AO24" s="195"/>
      <c r="AP24" s="196">
        <f t="shared" si="19"/>
        <v>2405</v>
      </c>
      <c r="AQ24" s="196">
        <f t="shared" si="20"/>
        <v>31265</v>
      </c>
    </row>
    <row r="25" spans="1:43" s="157" customFormat="1" ht="105" customHeight="1">
      <c r="A25" s="179">
        <v>13</v>
      </c>
      <c r="B25" s="180" t="s">
        <v>192</v>
      </c>
      <c r="C25" s="357" t="s">
        <v>172</v>
      </c>
      <c r="D25" s="357"/>
      <c r="E25" s="181" t="s">
        <v>165</v>
      </c>
      <c r="F25" s="182">
        <v>13</v>
      </c>
      <c r="G25" s="183">
        <v>13</v>
      </c>
      <c r="H25" s="184">
        <v>4421.75</v>
      </c>
      <c r="I25" s="185">
        <f t="shared" si="11"/>
        <v>57482.75</v>
      </c>
      <c r="J25" s="183">
        <v>13</v>
      </c>
      <c r="K25" s="184">
        <v>4119.28</v>
      </c>
      <c r="L25" s="185">
        <f t="shared" si="12"/>
        <v>53550.64</v>
      </c>
      <c r="M25" s="183">
        <v>13</v>
      </c>
      <c r="N25" s="184">
        <v>3436.76</v>
      </c>
      <c r="O25" s="185">
        <f t="shared" si="13"/>
        <v>44677.880000000005</v>
      </c>
      <c r="P25" s="183">
        <v>13</v>
      </c>
      <c r="Q25" s="184">
        <v>2952</v>
      </c>
      <c r="R25" s="185">
        <f t="shared" si="14"/>
        <v>38376</v>
      </c>
      <c r="S25" s="186">
        <v>13</v>
      </c>
      <c r="T25" s="187">
        <v>3872</v>
      </c>
      <c r="U25" s="188">
        <f t="shared" si="15"/>
        <v>50336</v>
      </c>
      <c r="V25" s="189">
        <v>13</v>
      </c>
      <c r="W25" s="189">
        <v>4868.38</v>
      </c>
      <c r="X25" s="189">
        <f t="shared" si="16"/>
        <v>63288.94</v>
      </c>
      <c r="Y25" s="186">
        <v>13</v>
      </c>
      <c r="Z25" s="187">
        <v>4312.66</v>
      </c>
      <c r="AA25" s="188">
        <f t="shared" si="17"/>
        <v>56064.58</v>
      </c>
      <c r="AB25" s="183">
        <v>13</v>
      </c>
      <c r="AC25" s="184">
        <v>5282.28</v>
      </c>
      <c r="AD25" s="185">
        <f t="shared" si="18"/>
        <v>68669.64</v>
      </c>
      <c r="AE25" s="190"/>
      <c r="AF25" s="191"/>
      <c r="AG25" s="191"/>
      <c r="AH25" s="191"/>
      <c r="AI25" s="191">
        <f t="shared" si="8"/>
        <v>0</v>
      </c>
      <c r="AJ25" s="193"/>
      <c r="AK25" s="193"/>
      <c r="AL25" s="193"/>
      <c r="AM25" s="193"/>
      <c r="AN25" s="194"/>
      <c r="AO25" s="195"/>
      <c r="AP25" s="196">
        <f t="shared" si="19"/>
        <v>2952</v>
      </c>
      <c r="AQ25" s="196">
        <f t="shared" si="20"/>
        <v>38376</v>
      </c>
    </row>
    <row r="26" spans="1:43" s="157" customFormat="1" ht="105" customHeight="1">
      <c r="A26" s="179">
        <v>14</v>
      </c>
      <c r="B26" s="180" t="s">
        <v>193</v>
      </c>
      <c r="C26" s="357" t="s">
        <v>187</v>
      </c>
      <c r="D26" s="357"/>
      <c r="E26" s="181" t="s">
        <v>165</v>
      </c>
      <c r="F26" s="182">
        <v>26</v>
      </c>
      <c r="G26" s="183">
        <v>26</v>
      </c>
      <c r="H26" s="184">
        <v>5172.2299999999996</v>
      </c>
      <c r="I26" s="185">
        <f t="shared" si="11"/>
        <v>134477.97999999998</v>
      </c>
      <c r="J26" s="183">
        <v>13</v>
      </c>
      <c r="K26" s="184">
        <v>3540.2</v>
      </c>
      <c r="L26" s="185">
        <f t="shared" si="12"/>
        <v>46022.6</v>
      </c>
      <c r="M26" s="183">
        <v>26</v>
      </c>
      <c r="N26" s="184">
        <v>3635.52</v>
      </c>
      <c r="O26" s="185">
        <f t="shared" si="13"/>
        <v>94523.520000000004</v>
      </c>
      <c r="P26" s="183">
        <v>26</v>
      </c>
      <c r="Q26" s="184">
        <v>5005</v>
      </c>
      <c r="R26" s="185">
        <f t="shared" si="14"/>
        <v>130130</v>
      </c>
      <c r="S26" s="186">
        <v>26</v>
      </c>
      <c r="T26" s="187">
        <v>4575</v>
      </c>
      <c r="U26" s="188">
        <f t="shared" si="15"/>
        <v>118950</v>
      </c>
      <c r="V26" s="189">
        <v>26</v>
      </c>
      <c r="W26" s="189">
        <v>3515.4</v>
      </c>
      <c r="X26" s="189">
        <f t="shared" si="16"/>
        <v>91400.400000000009</v>
      </c>
      <c r="Y26" s="186">
        <v>26</v>
      </c>
      <c r="Z26" s="187">
        <v>2262.2800000000002</v>
      </c>
      <c r="AA26" s="188">
        <f t="shared" si="17"/>
        <v>58819.280000000006</v>
      </c>
      <c r="AB26" s="183">
        <v>26</v>
      </c>
      <c r="AC26" s="184">
        <v>5415.39</v>
      </c>
      <c r="AD26" s="185">
        <f t="shared" si="18"/>
        <v>140800.14000000001</v>
      </c>
      <c r="AE26" s="190"/>
      <c r="AF26" s="191"/>
      <c r="AG26" s="191"/>
      <c r="AH26" s="191"/>
      <c r="AI26" s="191">
        <f t="shared" si="8"/>
        <v>0</v>
      </c>
      <c r="AJ26" s="193"/>
      <c r="AK26" s="193"/>
      <c r="AL26" s="193"/>
      <c r="AM26" s="193"/>
      <c r="AN26" s="194"/>
      <c r="AO26" s="195"/>
      <c r="AP26" s="196">
        <f t="shared" si="19"/>
        <v>2262.2800000000002</v>
      </c>
      <c r="AQ26" s="196">
        <f t="shared" si="20"/>
        <v>58819.280000000006</v>
      </c>
    </row>
    <row r="27" spans="1:43" s="157" customFormat="1" ht="105" customHeight="1">
      <c r="A27" s="179">
        <v>15</v>
      </c>
      <c r="B27" s="180" t="s">
        <v>194</v>
      </c>
      <c r="C27" s="357" t="s">
        <v>195</v>
      </c>
      <c r="D27" s="357"/>
      <c r="E27" s="181" t="s">
        <v>165</v>
      </c>
      <c r="F27" s="182" t="s">
        <v>184</v>
      </c>
      <c r="G27" s="358" t="s">
        <v>185</v>
      </c>
      <c r="H27" s="358"/>
      <c r="I27" s="358"/>
      <c r="J27" s="358" t="s">
        <v>185</v>
      </c>
      <c r="K27" s="358"/>
      <c r="L27" s="358"/>
      <c r="M27" s="358" t="s">
        <v>185</v>
      </c>
      <c r="N27" s="358"/>
      <c r="O27" s="358"/>
      <c r="P27" s="358" t="s">
        <v>185</v>
      </c>
      <c r="Q27" s="358"/>
      <c r="R27" s="358"/>
      <c r="S27" s="358" t="s">
        <v>185</v>
      </c>
      <c r="T27" s="358"/>
      <c r="U27" s="358"/>
      <c r="V27" s="358" t="s">
        <v>185</v>
      </c>
      <c r="W27" s="358"/>
      <c r="X27" s="358"/>
      <c r="Y27" s="358" t="s">
        <v>185</v>
      </c>
      <c r="Z27" s="358"/>
      <c r="AA27" s="358"/>
      <c r="AB27" s="358" t="s">
        <v>185</v>
      </c>
      <c r="AC27" s="358"/>
      <c r="AD27" s="358"/>
      <c r="AE27" s="190"/>
      <c r="AF27" s="191"/>
      <c r="AG27" s="191"/>
      <c r="AH27" s="191"/>
      <c r="AI27" s="191">
        <f t="shared" si="8"/>
        <v>0</v>
      </c>
      <c r="AJ27" s="193"/>
      <c r="AK27" s="193"/>
      <c r="AL27" s="193"/>
      <c r="AM27" s="193"/>
      <c r="AN27" s="194"/>
      <c r="AO27" s="195"/>
      <c r="AP27" s="196">
        <f t="shared" si="19"/>
        <v>0</v>
      </c>
      <c r="AQ27" s="196" t="str">
        <f>IFERROR(AP27*F27,"")</f>
        <v/>
      </c>
    </row>
    <row r="28" spans="1:43" s="157" customFormat="1" ht="105" customHeight="1">
      <c r="A28" s="179">
        <v>16</v>
      </c>
      <c r="B28" s="180" t="s">
        <v>196</v>
      </c>
      <c r="C28" s="357" t="s">
        <v>187</v>
      </c>
      <c r="D28" s="357"/>
      <c r="E28" s="181" t="s">
        <v>165</v>
      </c>
      <c r="F28" s="182">
        <v>26</v>
      </c>
      <c r="G28" s="183">
        <v>26</v>
      </c>
      <c r="H28" s="184">
        <v>5957.84</v>
      </c>
      <c r="I28" s="185">
        <f t="shared" ref="I28:I58" si="21">G28*H28</f>
        <v>154903.84</v>
      </c>
      <c r="J28" s="183">
        <v>26</v>
      </c>
      <c r="K28" s="184">
        <v>2250.42</v>
      </c>
      <c r="L28" s="185">
        <f t="shared" ref="L28:L49" si="22">J28*K28</f>
        <v>58510.92</v>
      </c>
      <c r="M28" s="183">
        <v>26</v>
      </c>
      <c r="N28" s="184">
        <v>2663.31</v>
      </c>
      <c r="O28" s="185">
        <f t="shared" ref="O28:O58" si="23">M28*N28</f>
        <v>69246.06</v>
      </c>
      <c r="P28" s="183">
        <v>26</v>
      </c>
      <c r="Q28" s="184">
        <v>1515</v>
      </c>
      <c r="R28" s="185">
        <f t="shared" ref="R28:R35" si="24">P28*Q28</f>
        <v>39390</v>
      </c>
      <c r="S28" s="186">
        <v>26</v>
      </c>
      <c r="T28" s="187">
        <v>7378</v>
      </c>
      <c r="U28" s="188">
        <f t="shared" ref="U28:U58" si="25">S28*T28</f>
        <v>191828</v>
      </c>
      <c r="V28" s="189">
        <v>26</v>
      </c>
      <c r="W28" s="189">
        <v>3099.89</v>
      </c>
      <c r="X28" s="189">
        <f t="shared" ref="X28:X47" si="26">V28*W28</f>
        <v>80597.14</v>
      </c>
      <c r="Y28" s="186">
        <v>26</v>
      </c>
      <c r="Z28" s="187">
        <v>1518.47</v>
      </c>
      <c r="AA28" s="188">
        <f t="shared" ref="AA28:AA47" si="27">Y28*Z28</f>
        <v>39480.22</v>
      </c>
      <c r="AB28" s="183">
        <v>26</v>
      </c>
      <c r="AC28" s="184">
        <v>5663.13</v>
      </c>
      <c r="AD28" s="185">
        <f t="shared" ref="AD28:AD58" si="28">AB28*AC28</f>
        <v>147241.38</v>
      </c>
      <c r="AE28" s="190"/>
      <c r="AF28" s="191"/>
      <c r="AG28" s="191"/>
      <c r="AH28" s="191"/>
      <c r="AI28" s="191">
        <f t="shared" si="8"/>
        <v>0</v>
      </c>
      <c r="AJ28" s="193"/>
      <c r="AK28" s="193"/>
      <c r="AL28" s="193"/>
      <c r="AM28" s="193"/>
      <c r="AN28" s="194"/>
      <c r="AO28" s="195"/>
      <c r="AP28" s="196">
        <f t="shared" si="19"/>
        <v>1515</v>
      </c>
      <c r="AQ28" s="196">
        <f t="shared" ref="AQ28:AQ47" si="29">AP28*F28</f>
        <v>39390</v>
      </c>
    </row>
    <row r="29" spans="1:43" s="157" customFormat="1" ht="105" customHeight="1">
      <c r="A29" s="179">
        <v>17</v>
      </c>
      <c r="B29" s="180" t="s">
        <v>197</v>
      </c>
      <c r="C29" s="357" t="s">
        <v>172</v>
      </c>
      <c r="D29" s="357"/>
      <c r="E29" s="181" t="s">
        <v>165</v>
      </c>
      <c r="F29" s="182">
        <v>13</v>
      </c>
      <c r="G29" s="183">
        <v>13</v>
      </c>
      <c r="H29" s="184">
        <v>4814.0200000000004</v>
      </c>
      <c r="I29" s="185">
        <f t="shared" si="21"/>
        <v>62582.260000000009</v>
      </c>
      <c r="J29" s="183">
        <v>13</v>
      </c>
      <c r="K29" s="184">
        <v>4348.32</v>
      </c>
      <c r="L29" s="185">
        <f t="shared" si="22"/>
        <v>56528.159999999996</v>
      </c>
      <c r="M29" s="183">
        <v>13</v>
      </c>
      <c r="N29" s="184">
        <v>3846.44</v>
      </c>
      <c r="O29" s="185">
        <f t="shared" si="23"/>
        <v>50003.72</v>
      </c>
      <c r="P29" s="183">
        <v>13</v>
      </c>
      <c r="Q29" s="184">
        <v>3307</v>
      </c>
      <c r="R29" s="185">
        <f t="shared" si="24"/>
        <v>42991</v>
      </c>
      <c r="S29" s="186">
        <v>13</v>
      </c>
      <c r="T29" s="187">
        <v>4093</v>
      </c>
      <c r="U29" s="188">
        <f t="shared" si="25"/>
        <v>53209</v>
      </c>
      <c r="V29" s="189">
        <v>13</v>
      </c>
      <c r="W29" s="189">
        <v>5454.39</v>
      </c>
      <c r="X29" s="189">
        <f t="shared" si="26"/>
        <v>70907.070000000007</v>
      </c>
      <c r="Y29" s="186">
        <v>13</v>
      </c>
      <c r="Z29" s="187">
        <v>4831.7700000000004</v>
      </c>
      <c r="AA29" s="188">
        <f t="shared" si="27"/>
        <v>62813.010000000009</v>
      </c>
      <c r="AB29" s="183">
        <v>13</v>
      </c>
      <c r="AC29" s="184">
        <v>5918.11</v>
      </c>
      <c r="AD29" s="185">
        <f t="shared" si="28"/>
        <v>76935.429999999993</v>
      </c>
      <c r="AE29" s="190"/>
      <c r="AF29" s="191"/>
      <c r="AG29" s="191"/>
      <c r="AH29" s="191"/>
      <c r="AI29" s="191">
        <f t="shared" si="8"/>
        <v>0</v>
      </c>
      <c r="AJ29" s="193"/>
      <c r="AK29" s="193"/>
      <c r="AL29" s="193"/>
      <c r="AM29" s="193"/>
      <c r="AN29" s="194"/>
      <c r="AO29" s="195"/>
      <c r="AP29" s="196">
        <f t="shared" si="19"/>
        <v>3307</v>
      </c>
      <c r="AQ29" s="196">
        <f t="shared" si="29"/>
        <v>42991</v>
      </c>
    </row>
    <row r="30" spans="1:43" s="157" customFormat="1" ht="105" customHeight="1">
      <c r="A30" s="179">
        <v>18</v>
      </c>
      <c r="B30" s="180" t="s">
        <v>198</v>
      </c>
      <c r="C30" s="357" t="s">
        <v>172</v>
      </c>
      <c r="D30" s="357"/>
      <c r="E30" s="181" t="s">
        <v>165</v>
      </c>
      <c r="F30" s="182">
        <v>13</v>
      </c>
      <c r="G30" s="183">
        <v>13</v>
      </c>
      <c r="H30" s="184">
        <v>4461.12</v>
      </c>
      <c r="I30" s="185">
        <f t="shared" si="21"/>
        <v>57994.559999999998</v>
      </c>
      <c r="J30" s="183">
        <v>13</v>
      </c>
      <c r="K30" s="184">
        <v>3927.44</v>
      </c>
      <c r="L30" s="185">
        <f t="shared" si="22"/>
        <v>51056.72</v>
      </c>
      <c r="M30" s="183">
        <v>13</v>
      </c>
      <c r="N30" s="184">
        <v>3482.28</v>
      </c>
      <c r="O30" s="185">
        <f t="shared" si="23"/>
        <v>45269.64</v>
      </c>
      <c r="P30" s="183">
        <v>13</v>
      </c>
      <c r="Q30" s="184">
        <v>2993</v>
      </c>
      <c r="R30" s="185">
        <f t="shared" si="24"/>
        <v>38909</v>
      </c>
      <c r="S30" s="186">
        <v>13</v>
      </c>
      <c r="T30" s="187">
        <v>3706</v>
      </c>
      <c r="U30" s="188">
        <f t="shared" si="25"/>
        <v>48178</v>
      </c>
      <c r="V30" s="189">
        <v>13</v>
      </c>
      <c r="W30" s="189">
        <v>4936</v>
      </c>
      <c r="X30" s="189">
        <f t="shared" si="26"/>
        <v>64168</v>
      </c>
      <c r="Y30" s="186">
        <v>13</v>
      </c>
      <c r="Z30" s="187">
        <v>4372.55</v>
      </c>
      <c r="AA30" s="188">
        <f t="shared" si="27"/>
        <v>56843.15</v>
      </c>
      <c r="AB30" s="183">
        <v>13</v>
      </c>
      <c r="AC30" s="184">
        <v>5355.65</v>
      </c>
      <c r="AD30" s="185">
        <f t="shared" si="28"/>
        <v>69623.45</v>
      </c>
      <c r="AE30" s="190"/>
      <c r="AF30" s="191"/>
      <c r="AG30" s="191"/>
      <c r="AH30" s="191"/>
      <c r="AI30" s="191">
        <f t="shared" si="8"/>
        <v>0</v>
      </c>
      <c r="AJ30" s="193"/>
      <c r="AK30" s="193"/>
      <c r="AL30" s="193"/>
      <c r="AM30" s="193"/>
      <c r="AN30" s="194"/>
      <c r="AO30" s="195"/>
      <c r="AP30" s="196">
        <f t="shared" si="19"/>
        <v>2993</v>
      </c>
      <c r="AQ30" s="196">
        <f t="shared" si="29"/>
        <v>38909</v>
      </c>
    </row>
    <row r="31" spans="1:43" s="157" customFormat="1" ht="105" customHeight="1">
      <c r="A31" s="179">
        <v>19</v>
      </c>
      <c r="B31" s="180" t="s">
        <v>199</v>
      </c>
      <c r="C31" s="357" t="s">
        <v>172</v>
      </c>
      <c r="D31" s="357"/>
      <c r="E31" s="181" t="s">
        <v>165</v>
      </c>
      <c r="F31" s="182">
        <v>13</v>
      </c>
      <c r="G31" s="183">
        <v>13</v>
      </c>
      <c r="H31" s="184">
        <v>10446.85</v>
      </c>
      <c r="I31" s="185">
        <f t="shared" si="21"/>
        <v>135809.05000000002</v>
      </c>
      <c r="J31" s="183">
        <v>13</v>
      </c>
      <c r="K31" s="184">
        <v>5686.25</v>
      </c>
      <c r="L31" s="185">
        <f t="shared" si="22"/>
        <v>73921.25</v>
      </c>
      <c r="M31" s="183">
        <v>13</v>
      </c>
      <c r="N31" s="184">
        <v>7453.9</v>
      </c>
      <c r="O31" s="185">
        <f t="shared" si="23"/>
        <v>96900.7</v>
      </c>
      <c r="P31" s="183">
        <v>13</v>
      </c>
      <c r="Q31" s="184">
        <v>6426</v>
      </c>
      <c r="R31" s="185">
        <f t="shared" si="24"/>
        <v>83538</v>
      </c>
      <c r="S31" s="186">
        <v>13</v>
      </c>
      <c r="T31" s="187">
        <v>5505</v>
      </c>
      <c r="U31" s="188">
        <f t="shared" si="25"/>
        <v>71565</v>
      </c>
      <c r="V31" s="189">
        <v>13</v>
      </c>
      <c r="W31" s="189">
        <v>10554.72</v>
      </c>
      <c r="X31" s="189">
        <f t="shared" si="26"/>
        <v>137211.35999999999</v>
      </c>
      <c r="Y31" s="186">
        <v>13</v>
      </c>
      <c r="Z31" s="187">
        <v>9349.9</v>
      </c>
      <c r="AA31" s="188">
        <f t="shared" si="27"/>
        <v>121548.7</v>
      </c>
      <c r="AB31" s="183">
        <v>13</v>
      </c>
      <c r="AC31" s="184">
        <v>12079.57</v>
      </c>
      <c r="AD31" s="185">
        <f t="shared" si="28"/>
        <v>157034.41</v>
      </c>
      <c r="AE31" s="190"/>
      <c r="AF31" s="191"/>
      <c r="AG31" s="191"/>
      <c r="AH31" s="191"/>
      <c r="AI31" s="191">
        <f t="shared" si="8"/>
        <v>0</v>
      </c>
      <c r="AJ31" s="193"/>
      <c r="AK31" s="193"/>
      <c r="AL31" s="193"/>
      <c r="AM31" s="193"/>
      <c r="AN31" s="194"/>
      <c r="AO31" s="195"/>
      <c r="AP31" s="196">
        <f t="shared" si="19"/>
        <v>5505</v>
      </c>
      <c r="AQ31" s="196">
        <f t="shared" si="29"/>
        <v>71565</v>
      </c>
    </row>
    <row r="32" spans="1:43" s="157" customFormat="1" ht="105" customHeight="1">
      <c r="A32" s="179">
        <v>20</v>
      </c>
      <c r="B32" s="180" t="s">
        <v>200</v>
      </c>
      <c r="C32" s="357" t="s">
        <v>187</v>
      </c>
      <c r="D32" s="357"/>
      <c r="E32" s="181" t="s">
        <v>165</v>
      </c>
      <c r="F32" s="182">
        <v>13</v>
      </c>
      <c r="G32" s="183">
        <v>13</v>
      </c>
      <c r="H32" s="184">
        <v>24886.05</v>
      </c>
      <c r="I32" s="185">
        <f t="shared" si="21"/>
        <v>323518.64999999997</v>
      </c>
      <c r="J32" s="183">
        <v>13</v>
      </c>
      <c r="K32" s="184">
        <v>16935.349999999999</v>
      </c>
      <c r="L32" s="185">
        <f t="shared" si="22"/>
        <v>220159.55</v>
      </c>
      <c r="M32" s="183">
        <v>13</v>
      </c>
      <c r="N32" s="184">
        <v>16729.55</v>
      </c>
      <c r="O32" s="185">
        <f t="shared" si="23"/>
        <v>217484.15</v>
      </c>
      <c r="P32" s="183">
        <v>13</v>
      </c>
      <c r="Q32" s="184">
        <v>19148</v>
      </c>
      <c r="R32" s="185">
        <f t="shared" si="24"/>
        <v>248924</v>
      </c>
      <c r="S32" s="186">
        <v>13</v>
      </c>
      <c r="T32" s="187">
        <v>23651</v>
      </c>
      <c r="U32" s="188">
        <f t="shared" si="25"/>
        <v>307463</v>
      </c>
      <c r="V32" s="189">
        <v>13</v>
      </c>
      <c r="W32" s="189">
        <v>26850.01</v>
      </c>
      <c r="X32" s="189">
        <f t="shared" si="26"/>
        <v>349050.13</v>
      </c>
      <c r="Y32" s="186">
        <v>13</v>
      </c>
      <c r="Z32" s="187">
        <v>15645.44</v>
      </c>
      <c r="AA32" s="188">
        <f t="shared" si="27"/>
        <v>203390.72</v>
      </c>
      <c r="AB32" s="183">
        <v>13</v>
      </c>
      <c r="AC32" s="184">
        <v>30590.9</v>
      </c>
      <c r="AD32" s="185">
        <f t="shared" si="28"/>
        <v>397681.7</v>
      </c>
      <c r="AE32" s="190"/>
      <c r="AF32" s="191"/>
      <c r="AG32" s="191"/>
      <c r="AH32" s="191"/>
      <c r="AI32" s="191">
        <f t="shared" si="8"/>
        <v>0</v>
      </c>
      <c r="AJ32" s="193"/>
      <c r="AK32" s="193"/>
      <c r="AL32" s="193"/>
      <c r="AM32" s="193"/>
      <c r="AN32" s="194"/>
      <c r="AO32" s="195"/>
      <c r="AP32" s="196">
        <f t="shared" si="19"/>
        <v>15645.44</v>
      </c>
      <c r="AQ32" s="196">
        <f t="shared" si="29"/>
        <v>203390.72</v>
      </c>
    </row>
    <row r="33" spans="1:43" s="157" customFormat="1" ht="105" customHeight="1">
      <c r="A33" s="179">
        <v>21</v>
      </c>
      <c r="B33" s="180" t="s">
        <v>201</v>
      </c>
      <c r="C33" s="357" t="s">
        <v>187</v>
      </c>
      <c r="D33" s="357"/>
      <c r="E33" s="181" t="s">
        <v>165</v>
      </c>
      <c r="F33" s="182">
        <v>13</v>
      </c>
      <c r="G33" s="183">
        <v>13</v>
      </c>
      <c r="H33" s="184">
        <v>24464.66</v>
      </c>
      <c r="I33" s="185">
        <f t="shared" si="21"/>
        <v>318040.58</v>
      </c>
      <c r="J33" s="183">
        <v>13</v>
      </c>
      <c r="K33" s="184">
        <v>22111.39</v>
      </c>
      <c r="L33" s="185">
        <f t="shared" si="22"/>
        <v>287448.07</v>
      </c>
      <c r="M33" s="183">
        <v>13</v>
      </c>
      <c r="N33" s="184">
        <v>19725.36</v>
      </c>
      <c r="O33" s="185">
        <f t="shared" si="23"/>
        <v>256429.68</v>
      </c>
      <c r="P33" s="199">
        <v>13</v>
      </c>
      <c r="Q33" s="184">
        <v>22136</v>
      </c>
      <c r="R33" s="185">
        <f t="shared" si="24"/>
        <v>287768</v>
      </c>
      <c r="S33" s="186">
        <v>13</v>
      </c>
      <c r="T33" s="187">
        <v>18661</v>
      </c>
      <c r="U33" s="188">
        <f t="shared" si="25"/>
        <v>242593</v>
      </c>
      <c r="V33" s="189">
        <v>13</v>
      </c>
      <c r="W33" s="189">
        <v>31030.74</v>
      </c>
      <c r="X33" s="189">
        <f t="shared" si="26"/>
        <v>403399.62</v>
      </c>
      <c r="Y33" s="186">
        <v>13</v>
      </c>
      <c r="Z33" s="187">
        <v>17957.599999999999</v>
      </c>
      <c r="AA33" s="188">
        <f t="shared" si="27"/>
        <v>233448.8</v>
      </c>
      <c r="AB33" s="183">
        <v>13</v>
      </c>
      <c r="AC33" s="184">
        <v>37479.919999999998</v>
      </c>
      <c r="AD33" s="185">
        <f t="shared" si="28"/>
        <v>487238.95999999996</v>
      </c>
      <c r="AE33" s="190"/>
      <c r="AF33" s="191"/>
      <c r="AG33" s="191"/>
      <c r="AH33" s="191"/>
      <c r="AI33" s="191">
        <f t="shared" si="8"/>
        <v>0</v>
      </c>
      <c r="AJ33" s="193"/>
      <c r="AK33" s="193"/>
      <c r="AL33" s="193"/>
      <c r="AM33" s="193"/>
      <c r="AN33" s="194"/>
      <c r="AO33" s="195"/>
      <c r="AP33" s="196">
        <f t="shared" si="19"/>
        <v>17957.599999999999</v>
      </c>
      <c r="AQ33" s="196">
        <f t="shared" si="29"/>
        <v>233448.8</v>
      </c>
    </row>
    <row r="34" spans="1:43" s="157" customFormat="1" ht="105" customHeight="1">
      <c r="A34" s="179">
        <v>22</v>
      </c>
      <c r="B34" s="180" t="s">
        <v>202</v>
      </c>
      <c r="C34" s="357" t="s">
        <v>187</v>
      </c>
      <c r="D34" s="357"/>
      <c r="E34" s="181" t="s">
        <v>165</v>
      </c>
      <c r="F34" s="182">
        <v>13</v>
      </c>
      <c r="G34" s="183">
        <v>13</v>
      </c>
      <c r="H34" s="214">
        <v>3386.4</v>
      </c>
      <c r="I34" s="185">
        <f t="shared" si="21"/>
        <v>44023.200000000004</v>
      </c>
      <c r="J34" s="183">
        <v>13</v>
      </c>
      <c r="K34" s="184">
        <v>2928.04</v>
      </c>
      <c r="L34" s="185">
        <f t="shared" si="22"/>
        <v>38064.519999999997</v>
      </c>
      <c r="M34" s="183">
        <v>13</v>
      </c>
      <c r="N34" s="184">
        <v>2325.4699999999998</v>
      </c>
      <c r="O34" s="185">
        <f t="shared" si="23"/>
        <v>30231.109999999997</v>
      </c>
      <c r="P34" s="183">
        <v>13</v>
      </c>
      <c r="Q34" s="184">
        <v>2986</v>
      </c>
      <c r="R34" s="185">
        <f t="shared" si="24"/>
        <v>38818</v>
      </c>
      <c r="S34" s="186">
        <v>13</v>
      </c>
      <c r="T34" s="187">
        <v>2686</v>
      </c>
      <c r="U34" s="188">
        <f t="shared" si="25"/>
        <v>34918</v>
      </c>
      <c r="V34" s="189">
        <v>13</v>
      </c>
      <c r="W34" s="189">
        <v>3285.65</v>
      </c>
      <c r="X34" s="189">
        <f t="shared" si="26"/>
        <v>42713.450000000004</v>
      </c>
      <c r="Y34" s="186">
        <v>13</v>
      </c>
      <c r="Z34" s="187">
        <v>1812.54</v>
      </c>
      <c r="AA34" s="188">
        <f t="shared" si="27"/>
        <v>23563.02</v>
      </c>
      <c r="AB34" s="183">
        <v>13</v>
      </c>
      <c r="AC34" s="184">
        <v>3226.8</v>
      </c>
      <c r="AD34" s="185">
        <f t="shared" si="28"/>
        <v>41948.4</v>
      </c>
      <c r="AE34" s="190"/>
      <c r="AF34" s="191"/>
      <c r="AG34" s="191"/>
      <c r="AH34" s="191"/>
      <c r="AI34" s="191">
        <f t="shared" si="8"/>
        <v>0</v>
      </c>
      <c r="AJ34" s="193"/>
      <c r="AK34" s="193"/>
      <c r="AL34" s="193"/>
      <c r="AM34" s="193"/>
      <c r="AN34" s="194"/>
      <c r="AO34" s="195"/>
      <c r="AP34" s="196">
        <f t="shared" si="19"/>
        <v>1812.54</v>
      </c>
      <c r="AQ34" s="196">
        <f t="shared" si="29"/>
        <v>23563.02</v>
      </c>
    </row>
    <row r="35" spans="1:43" s="157" customFormat="1" ht="105" customHeight="1">
      <c r="A35" s="179">
        <v>23</v>
      </c>
      <c r="B35" s="180" t="s">
        <v>203</v>
      </c>
      <c r="C35" s="357" t="s">
        <v>172</v>
      </c>
      <c r="D35" s="357"/>
      <c r="E35" s="181" t="s">
        <v>165</v>
      </c>
      <c r="F35" s="182">
        <v>13</v>
      </c>
      <c r="G35" s="183">
        <v>13</v>
      </c>
      <c r="H35" s="214">
        <v>13286.24</v>
      </c>
      <c r="I35" s="185">
        <f t="shared" si="21"/>
        <v>172721.12</v>
      </c>
      <c r="J35" s="183">
        <v>13</v>
      </c>
      <c r="K35" s="184">
        <v>6927.44</v>
      </c>
      <c r="L35" s="185">
        <f t="shared" si="22"/>
        <v>90056.72</v>
      </c>
      <c r="M35" s="183">
        <v>13</v>
      </c>
      <c r="N35" s="184">
        <v>6632.29</v>
      </c>
      <c r="O35" s="185">
        <f t="shared" si="23"/>
        <v>86219.77</v>
      </c>
      <c r="P35" s="361">
        <v>13</v>
      </c>
      <c r="Q35" s="362">
        <v>22606</v>
      </c>
      <c r="R35" s="359">
        <f t="shared" si="24"/>
        <v>293878</v>
      </c>
      <c r="S35" s="186">
        <v>13</v>
      </c>
      <c r="T35" s="187">
        <v>10793</v>
      </c>
      <c r="U35" s="188">
        <f t="shared" si="25"/>
        <v>140309</v>
      </c>
      <c r="V35" s="189">
        <v>13</v>
      </c>
      <c r="W35" s="189">
        <v>8089.25</v>
      </c>
      <c r="X35" s="189">
        <f t="shared" si="26"/>
        <v>105160.25</v>
      </c>
      <c r="Y35" s="186">
        <v>13</v>
      </c>
      <c r="Z35" s="187">
        <v>3420.8</v>
      </c>
      <c r="AA35" s="188">
        <f t="shared" si="27"/>
        <v>44470.400000000001</v>
      </c>
      <c r="AB35" s="183">
        <v>13</v>
      </c>
      <c r="AC35" s="184">
        <v>14088.35</v>
      </c>
      <c r="AD35" s="185">
        <f t="shared" si="28"/>
        <v>183148.55000000002</v>
      </c>
      <c r="AE35" s="190"/>
      <c r="AF35" s="191"/>
      <c r="AG35" s="191"/>
      <c r="AH35" s="191"/>
      <c r="AI35" s="191">
        <f t="shared" si="8"/>
        <v>0</v>
      </c>
      <c r="AJ35" s="193"/>
      <c r="AK35" s="193"/>
      <c r="AL35" s="193"/>
      <c r="AM35" s="193"/>
      <c r="AN35" s="194"/>
      <c r="AO35" s="195"/>
      <c r="AP35" s="196">
        <f t="shared" si="19"/>
        <v>3420.8</v>
      </c>
      <c r="AQ35" s="196">
        <f t="shared" si="29"/>
        <v>44470.400000000001</v>
      </c>
    </row>
    <row r="36" spans="1:43" s="157" customFormat="1" ht="105" customHeight="1">
      <c r="A36" s="179">
        <v>24</v>
      </c>
      <c r="B36" s="180" t="s">
        <v>204</v>
      </c>
      <c r="C36" s="357" t="s">
        <v>172</v>
      </c>
      <c r="D36" s="357"/>
      <c r="E36" s="181" t="s">
        <v>165</v>
      </c>
      <c r="F36" s="182">
        <v>13</v>
      </c>
      <c r="G36" s="183">
        <v>13</v>
      </c>
      <c r="H36" s="214">
        <v>21260.080000000002</v>
      </c>
      <c r="I36" s="185">
        <f t="shared" si="21"/>
        <v>276381.04000000004</v>
      </c>
      <c r="J36" s="183">
        <v>13</v>
      </c>
      <c r="K36" s="184">
        <v>10927.89</v>
      </c>
      <c r="L36" s="185">
        <f t="shared" si="22"/>
        <v>142062.57</v>
      </c>
      <c r="M36" s="183">
        <v>13</v>
      </c>
      <c r="N36" s="184">
        <v>12405.57</v>
      </c>
      <c r="O36" s="185">
        <f t="shared" si="23"/>
        <v>161272.41</v>
      </c>
      <c r="P36" s="361"/>
      <c r="Q36" s="361"/>
      <c r="R36" s="361"/>
      <c r="S36" s="186">
        <v>13</v>
      </c>
      <c r="T36" s="187">
        <v>22087</v>
      </c>
      <c r="U36" s="188">
        <f t="shared" si="25"/>
        <v>287131</v>
      </c>
      <c r="V36" s="189">
        <v>13</v>
      </c>
      <c r="W36" s="189">
        <v>14640.51</v>
      </c>
      <c r="X36" s="189">
        <f t="shared" si="26"/>
        <v>190326.63</v>
      </c>
      <c r="Y36" s="186">
        <v>13</v>
      </c>
      <c r="Z36" s="187">
        <v>5923.51</v>
      </c>
      <c r="AA36" s="188">
        <f t="shared" si="27"/>
        <v>77005.63</v>
      </c>
      <c r="AB36" s="183">
        <v>13</v>
      </c>
      <c r="AC36" s="184">
        <v>27481.94</v>
      </c>
      <c r="AD36" s="185">
        <f t="shared" si="28"/>
        <v>357265.22</v>
      </c>
      <c r="AE36" s="190"/>
      <c r="AF36" s="191"/>
      <c r="AG36" s="191"/>
      <c r="AH36" s="191"/>
      <c r="AI36" s="191">
        <f t="shared" si="8"/>
        <v>0</v>
      </c>
      <c r="AJ36" s="193"/>
      <c r="AK36" s="193"/>
      <c r="AL36" s="193"/>
      <c r="AM36" s="193"/>
      <c r="AN36" s="194"/>
      <c r="AO36" s="195"/>
      <c r="AP36" s="196">
        <f t="shared" si="19"/>
        <v>5923.51</v>
      </c>
      <c r="AQ36" s="196">
        <f t="shared" si="29"/>
        <v>77005.63</v>
      </c>
    </row>
    <row r="37" spans="1:43" s="157" customFormat="1" ht="105" customHeight="1">
      <c r="A37" s="179">
        <v>25</v>
      </c>
      <c r="B37" s="180" t="s">
        <v>205</v>
      </c>
      <c r="C37" s="357" t="s">
        <v>172</v>
      </c>
      <c r="D37" s="357"/>
      <c r="E37" s="181" t="s">
        <v>165</v>
      </c>
      <c r="F37" s="182">
        <v>13</v>
      </c>
      <c r="G37" s="183">
        <v>13</v>
      </c>
      <c r="H37" s="214">
        <v>25247.91</v>
      </c>
      <c r="I37" s="185">
        <f t="shared" si="21"/>
        <v>328222.83</v>
      </c>
      <c r="J37" s="183">
        <v>13</v>
      </c>
      <c r="K37" s="184">
        <v>7223.4</v>
      </c>
      <c r="L37" s="185">
        <f t="shared" si="22"/>
        <v>93904.2</v>
      </c>
      <c r="M37" s="183">
        <v>13</v>
      </c>
      <c r="N37" s="184">
        <v>12652.15</v>
      </c>
      <c r="O37" s="185">
        <f t="shared" si="23"/>
        <v>164477.94999999998</v>
      </c>
      <c r="P37" s="361"/>
      <c r="Q37" s="361"/>
      <c r="R37" s="361"/>
      <c r="S37" s="186">
        <v>13</v>
      </c>
      <c r="T37" s="187">
        <v>24458</v>
      </c>
      <c r="U37" s="188">
        <f t="shared" si="25"/>
        <v>317954</v>
      </c>
      <c r="V37" s="189">
        <v>13</v>
      </c>
      <c r="W37" s="189">
        <v>16093.14</v>
      </c>
      <c r="X37" s="189">
        <f t="shared" si="26"/>
        <v>209210.82</v>
      </c>
      <c r="Y37" s="186">
        <v>13</v>
      </c>
      <c r="Z37" s="187">
        <v>7217.94</v>
      </c>
      <c r="AA37" s="188">
        <f t="shared" si="27"/>
        <v>93833.22</v>
      </c>
      <c r="AB37" s="183">
        <v>13</v>
      </c>
      <c r="AC37" s="184">
        <v>29212.01</v>
      </c>
      <c r="AD37" s="185">
        <f t="shared" si="28"/>
        <v>379756.13</v>
      </c>
      <c r="AE37" s="190"/>
      <c r="AF37" s="191"/>
      <c r="AG37" s="191"/>
      <c r="AH37" s="191"/>
      <c r="AI37" s="191">
        <f t="shared" si="8"/>
        <v>0</v>
      </c>
      <c r="AJ37" s="193"/>
      <c r="AK37" s="193"/>
      <c r="AL37" s="193"/>
      <c r="AM37" s="193"/>
      <c r="AN37" s="194"/>
      <c r="AO37" s="195"/>
      <c r="AP37" s="196">
        <f t="shared" si="19"/>
        <v>7217.94</v>
      </c>
      <c r="AQ37" s="196">
        <f t="shared" si="29"/>
        <v>93833.22</v>
      </c>
    </row>
    <row r="38" spans="1:43" s="157" customFormat="1" ht="105" customHeight="1">
      <c r="A38" s="179">
        <v>26</v>
      </c>
      <c r="B38" s="180" t="s">
        <v>206</v>
      </c>
      <c r="C38" s="357" t="s">
        <v>187</v>
      </c>
      <c r="D38" s="357"/>
      <c r="E38" s="181" t="s">
        <v>165</v>
      </c>
      <c r="F38" s="182">
        <v>13</v>
      </c>
      <c r="G38" s="183">
        <v>13</v>
      </c>
      <c r="H38" s="214">
        <v>17684.29</v>
      </c>
      <c r="I38" s="185">
        <f t="shared" si="21"/>
        <v>229895.77000000002</v>
      </c>
      <c r="J38" s="183">
        <v>13</v>
      </c>
      <c r="K38" s="184">
        <v>15575.55</v>
      </c>
      <c r="L38" s="185">
        <f t="shared" si="22"/>
        <v>202482.15</v>
      </c>
      <c r="M38" s="183">
        <v>13</v>
      </c>
      <c r="N38" s="184">
        <v>14686.54</v>
      </c>
      <c r="O38" s="185">
        <f t="shared" si="23"/>
        <v>190925.02000000002</v>
      </c>
      <c r="P38" s="183">
        <v>13</v>
      </c>
      <c r="Q38" s="184">
        <v>15801</v>
      </c>
      <c r="R38" s="185">
        <f t="shared" ref="R38:R58" si="30">P38*Q38</f>
        <v>205413</v>
      </c>
      <c r="S38" s="186">
        <v>13</v>
      </c>
      <c r="T38" s="187">
        <v>23396</v>
      </c>
      <c r="U38" s="188">
        <f t="shared" si="25"/>
        <v>304148</v>
      </c>
      <c r="V38" s="189">
        <v>13</v>
      </c>
      <c r="W38" s="189">
        <v>22425.46</v>
      </c>
      <c r="X38" s="189">
        <f t="shared" si="26"/>
        <v>291530.98</v>
      </c>
      <c r="Y38" s="186">
        <v>13</v>
      </c>
      <c r="Z38" s="187">
        <v>14089.18</v>
      </c>
      <c r="AA38" s="188">
        <f t="shared" si="27"/>
        <v>183159.34</v>
      </c>
      <c r="AB38" s="183">
        <v>13</v>
      </c>
      <c r="AC38" s="184">
        <v>26286.94</v>
      </c>
      <c r="AD38" s="185">
        <f t="shared" si="28"/>
        <v>341730.22</v>
      </c>
      <c r="AE38" s="190"/>
      <c r="AF38" s="191"/>
      <c r="AG38" s="191"/>
      <c r="AH38" s="191"/>
      <c r="AI38" s="191">
        <f t="shared" si="8"/>
        <v>0</v>
      </c>
      <c r="AJ38" s="193"/>
      <c r="AK38" s="193"/>
      <c r="AL38" s="193"/>
      <c r="AM38" s="193"/>
      <c r="AN38" s="194"/>
      <c r="AO38" s="195"/>
      <c r="AP38" s="196">
        <f t="shared" si="19"/>
        <v>14089.18</v>
      </c>
      <c r="AQ38" s="196">
        <f t="shared" si="29"/>
        <v>183159.34</v>
      </c>
    </row>
    <row r="39" spans="1:43" s="157" customFormat="1" ht="105" customHeight="1">
      <c r="A39" s="179">
        <v>27</v>
      </c>
      <c r="B39" s="180" t="s">
        <v>207</v>
      </c>
      <c r="C39" s="357" t="s">
        <v>208</v>
      </c>
      <c r="D39" s="357"/>
      <c r="E39" s="181" t="s">
        <v>165</v>
      </c>
      <c r="F39" s="182">
        <v>26</v>
      </c>
      <c r="G39" s="183">
        <v>26</v>
      </c>
      <c r="H39" s="214">
        <v>7182.44</v>
      </c>
      <c r="I39" s="185">
        <f t="shared" si="21"/>
        <v>186743.44</v>
      </c>
      <c r="J39" s="183">
        <v>26</v>
      </c>
      <c r="K39" s="184">
        <v>2820.83</v>
      </c>
      <c r="L39" s="185">
        <f t="shared" si="22"/>
        <v>73341.58</v>
      </c>
      <c r="M39" s="183">
        <v>26</v>
      </c>
      <c r="N39" s="184">
        <v>1244.3</v>
      </c>
      <c r="O39" s="185">
        <f t="shared" si="23"/>
        <v>32351.8</v>
      </c>
      <c r="P39" s="183">
        <v>26</v>
      </c>
      <c r="Q39" s="184">
        <v>1945</v>
      </c>
      <c r="R39" s="185">
        <f t="shared" si="30"/>
        <v>50570</v>
      </c>
      <c r="S39" s="186">
        <v>26</v>
      </c>
      <c r="T39" s="187">
        <v>5359</v>
      </c>
      <c r="U39" s="188">
        <f t="shared" si="25"/>
        <v>139334</v>
      </c>
      <c r="V39" s="189">
        <v>26</v>
      </c>
      <c r="W39" s="189">
        <v>3106.41</v>
      </c>
      <c r="X39" s="189">
        <f t="shared" si="26"/>
        <v>80766.66</v>
      </c>
      <c r="Y39" s="186">
        <v>26</v>
      </c>
      <c r="Z39" s="187">
        <v>1866.8</v>
      </c>
      <c r="AA39" s="188">
        <f t="shared" si="27"/>
        <v>48536.799999999996</v>
      </c>
      <c r="AB39" s="183">
        <v>26</v>
      </c>
      <c r="AC39" s="184">
        <v>5684.74</v>
      </c>
      <c r="AD39" s="185">
        <f t="shared" si="28"/>
        <v>147803.24</v>
      </c>
      <c r="AE39" s="190"/>
      <c r="AF39" s="191"/>
      <c r="AG39" s="191"/>
      <c r="AH39" s="191"/>
      <c r="AI39" s="191">
        <f t="shared" si="8"/>
        <v>0</v>
      </c>
      <c r="AJ39" s="193"/>
      <c r="AK39" s="193"/>
      <c r="AL39" s="193"/>
      <c r="AM39" s="193"/>
      <c r="AN39" s="194"/>
      <c r="AO39" s="195"/>
      <c r="AP39" s="196">
        <f t="shared" si="19"/>
        <v>1244.3</v>
      </c>
      <c r="AQ39" s="196">
        <f t="shared" si="29"/>
        <v>32351.8</v>
      </c>
    </row>
    <row r="40" spans="1:43" s="157" customFormat="1" ht="105" customHeight="1">
      <c r="A40" s="179">
        <v>28</v>
      </c>
      <c r="B40" s="180" t="s">
        <v>209</v>
      </c>
      <c r="C40" s="357" t="s">
        <v>187</v>
      </c>
      <c r="D40" s="357"/>
      <c r="E40" s="181" t="s">
        <v>165</v>
      </c>
      <c r="F40" s="182">
        <v>13</v>
      </c>
      <c r="G40" s="183">
        <v>13</v>
      </c>
      <c r="H40" s="214">
        <v>5711.86</v>
      </c>
      <c r="I40" s="185">
        <f t="shared" si="21"/>
        <v>74254.179999999993</v>
      </c>
      <c r="J40" s="183">
        <v>13</v>
      </c>
      <c r="K40" s="184">
        <v>2959.99</v>
      </c>
      <c r="L40" s="185">
        <f t="shared" si="22"/>
        <v>38479.869999999995</v>
      </c>
      <c r="M40" s="183">
        <v>13</v>
      </c>
      <c r="N40" s="184">
        <v>2910.58</v>
      </c>
      <c r="O40" s="185">
        <f t="shared" si="23"/>
        <v>37837.54</v>
      </c>
      <c r="P40" s="183">
        <v>13</v>
      </c>
      <c r="Q40" s="184">
        <v>3916</v>
      </c>
      <c r="R40" s="185">
        <f t="shared" si="30"/>
        <v>50908</v>
      </c>
      <c r="S40" s="186">
        <v>13</v>
      </c>
      <c r="T40" s="187">
        <v>3962</v>
      </c>
      <c r="U40" s="188">
        <f t="shared" si="25"/>
        <v>51506</v>
      </c>
      <c r="V40" s="189">
        <v>13</v>
      </c>
      <c r="W40" s="189">
        <v>2815.56</v>
      </c>
      <c r="X40" s="189">
        <f t="shared" si="26"/>
        <v>36602.28</v>
      </c>
      <c r="Y40" s="186">
        <v>13</v>
      </c>
      <c r="Z40" s="187">
        <v>1804.48</v>
      </c>
      <c r="AA40" s="188">
        <f t="shared" si="27"/>
        <v>23458.240000000002</v>
      </c>
      <c r="AB40" s="183">
        <v>13</v>
      </c>
      <c r="AC40" s="184">
        <v>4783.0600000000004</v>
      </c>
      <c r="AD40" s="185">
        <f t="shared" si="28"/>
        <v>62179.780000000006</v>
      </c>
      <c r="AE40" s="190"/>
      <c r="AF40" s="191"/>
      <c r="AG40" s="191"/>
      <c r="AH40" s="191"/>
      <c r="AI40" s="191">
        <f t="shared" si="8"/>
        <v>0</v>
      </c>
      <c r="AJ40" s="193"/>
      <c r="AK40" s="193"/>
      <c r="AL40" s="193"/>
      <c r="AM40" s="193"/>
      <c r="AN40" s="194"/>
      <c r="AO40" s="195"/>
      <c r="AP40" s="196">
        <f t="shared" si="19"/>
        <v>1804.48</v>
      </c>
      <c r="AQ40" s="196">
        <f t="shared" si="29"/>
        <v>23458.240000000002</v>
      </c>
    </row>
    <row r="41" spans="1:43" s="157" customFormat="1" ht="105" customHeight="1">
      <c r="A41" s="179">
        <v>29</v>
      </c>
      <c r="B41" s="180" t="s">
        <v>210</v>
      </c>
      <c r="C41" s="357" t="s">
        <v>172</v>
      </c>
      <c r="D41" s="357"/>
      <c r="E41" s="181" t="s">
        <v>165</v>
      </c>
      <c r="F41" s="182">
        <v>13</v>
      </c>
      <c r="G41" s="183">
        <v>13</v>
      </c>
      <c r="H41" s="214">
        <v>1587.74</v>
      </c>
      <c r="I41" s="185">
        <f t="shared" si="21"/>
        <v>20640.62</v>
      </c>
      <c r="J41" s="183">
        <v>13</v>
      </c>
      <c r="K41" s="184">
        <v>633.17999999999995</v>
      </c>
      <c r="L41" s="185">
        <f t="shared" si="22"/>
        <v>8231.34</v>
      </c>
      <c r="M41" s="183">
        <v>13</v>
      </c>
      <c r="N41" s="184">
        <v>670.84</v>
      </c>
      <c r="O41" s="185">
        <f t="shared" si="23"/>
        <v>8720.92</v>
      </c>
      <c r="P41" s="183">
        <v>13</v>
      </c>
      <c r="Q41" s="184">
        <v>442</v>
      </c>
      <c r="R41" s="185">
        <f t="shared" si="30"/>
        <v>5746</v>
      </c>
      <c r="S41" s="186">
        <v>13</v>
      </c>
      <c r="T41" s="187">
        <v>1017</v>
      </c>
      <c r="U41" s="188">
        <f t="shared" si="25"/>
        <v>13221</v>
      </c>
      <c r="V41" s="189">
        <v>13</v>
      </c>
      <c r="W41" s="189">
        <v>800.12</v>
      </c>
      <c r="X41" s="189">
        <f t="shared" si="26"/>
        <v>10401.56</v>
      </c>
      <c r="Y41" s="186">
        <v>13</v>
      </c>
      <c r="Z41" s="187">
        <v>741.33</v>
      </c>
      <c r="AA41" s="188">
        <f t="shared" si="27"/>
        <v>9637.2900000000009</v>
      </c>
      <c r="AB41" s="183">
        <v>13</v>
      </c>
      <c r="AC41" s="184">
        <v>959.42</v>
      </c>
      <c r="AD41" s="185">
        <f t="shared" si="28"/>
        <v>12472.46</v>
      </c>
      <c r="AE41" s="190"/>
      <c r="AF41" s="191"/>
      <c r="AG41" s="191"/>
      <c r="AH41" s="191"/>
      <c r="AI41" s="191">
        <f t="shared" si="8"/>
        <v>0</v>
      </c>
      <c r="AJ41" s="193"/>
      <c r="AK41" s="193"/>
      <c r="AL41" s="193"/>
      <c r="AM41" s="193"/>
      <c r="AN41" s="194"/>
      <c r="AO41" s="195"/>
      <c r="AP41" s="196">
        <f t="shared" si="19"/>
        <v>442</v>
      </c>
      <c r="AQ41" s="196">
        <f t="shared" si="29"/>
        <v>5746</v>
      </c>
    </row>
    <row r="42" spans="1:43" s="157" customFormat="1" ht="105" customHeight="1">
      <c r="A42" s="179">
        <v>30</v>
      </c>
      <c r="B42" s="180" t="s">
        <v>211</v>
      </c>
      <c r="C42" s="357" t="s">
        <v>187</v>
      </c>
      <c r="D42" s="357"/>
      <c r="E42" s="181" t="s">
        <v>165</v>
      </c>
      <c r="F42" s="182">
        <v>13</v>
      </c>
      <c r="G42" s="183">
        <v>13</v>
      </c>
      <c r="H42" s="214">
        <v>5295.01</v>
      </c>
      <c r="I42" s="185">
        <f t="shared" si="21"/>
        <v>68835.13</v>
      </c>
      <c r="J42" s="199">
        <v>13</v>
      </c>
      <c r="K42" s="200">
        <v>4084.06</v>
      </c>
      <c r="L42" s="185">
        <f t="shared" si="22"/>
        <v>53092.78</v>
      </c>
      <c r="M42" s="199">
        <v>13</v>
      </c>
      <c r="N42" s="200">
        <v>3347.12</v>
      </c>
      <c r="O42" s="201">
        <f t="shared" si="23"/>
        <v>43512.56</v>
      </c>
      <c r="P42" s="183">
        <v>13</v>
      </c>
      <c r="Q42" s="184">
        <v>4297</v>
      </c>
      <c r="R42" s="185">
        <f t="shared" si="30"/>
        <v>55861</v>
      </c>
      <c r="S42" s="186">
        <v>13</v>
      </c>
      <c r="T42" s="187">
        <v>4626</v>
      </c>
      <c r="U42" s="188">
        <f t="shared" si="25"/>
        <v>60138</v>
      </c>
      <c r="V42" s="189">
        <v>13</v>
      </c>
      <c r="W42" s="189">
        <v>4534.43</v>
      </c>
      <c r="X42" s="189">
        <f t="shared" si="26"/>
        <v>58947.590000000004</v>
      </c>
      <c r="Y42" s="186">
        <v>13</v>
      </c>
      <c r="Z42" s="187">
        <v>2003.53</v>
      </c>
      <c r="AA42" s="188">
        <f t="shared" si="27"/>
        <v>26045.89</v>
      </c>
      <c r="AB42" s="183">
        <v>13</v>
      </c>
      <c r="AC42" s="184">
        <v>4054.5</v>
      </c>
      <c r="AD42" s="185">
        <f t="shared" si="28"/>
        <v>52708.5</v>
      </c>
      <c r="AE42" s="190"/>
      <c r="AF42" s="191"/>
      <c r="AG42" s="191"/>
      <c r="AH42" s="191"/>
      <c r="AI42" s="191">
        <f t="shared" si="8"/>
        <v>0</v>
      </c>
      <c r="AJ42" s="193"/>
      <c r="AK42" s="193"/>
      <c r="AL42" s="193"/>
      <c r="AM42" s="193"/>
      <c r="AN42" s="194"/>
      <c r="AO42" s="195"/>
      <c r="AP42" s="196">
        <f t="shared" si="19"/>
        <v>2003.53</v>
      </c>
      <c r="AQ42" s="196">
        <f t="shared" si="29"/>
        <v>26045.89</v>
      </c>
    </row>
    <row r="43" spans="1:43" s="157" customFormat="1" ht="105" customHeight="1">
      <c r="A43" s="179">
        <v>31</v>
      </c>
      <c r="B43" s="180" t="s">
        <v>212</v>
      </c>
      <c r="C43" s="357" t="s">
        <v>213</v>
      </c>
      <c r="D43" s="357"/>
      <c r="E43" s="181" t="s">
        <v>165</v>
      </c>
      <c r="F43" s="182">
        <v>13</v>
      </c>
      <c r="G43" s="183">
        <v>13</v>
      </c>
      <c r="H43" s="214">
        <v>2127.33</v>
      </c>
      <c r="I43" s="185">
        <f t="shared" si="21"/>
        <v>27655.29</v>
      </c>
      <c r="J43" s="183">
        <v>13</v>
      </c>
      <c r="K43" s="210">
        <v>1825.55</v>
      </c>
      <c r="L43" s="185">
        <f t="shared" si="22"/>
        <v>23732.149999999998</v>
      </c>
      <c r="M43" s="199">
        <v>13</v>
      </c>
      <c r="N43" s="200">
        <v>1011.92</v>
      </c>
      <c r="O43" s="201">
        <f t="shared" si="23"/>
        <v>13154.96</v>
      </c>
      <c r="P43" s="183">
        <v>13</v>
      </c>
      <c r="Q43" s="184">
        <v>1348</v>
      </c>
      <c r="R43" s="185">
        <f t="shared" si="30"/>
        <v>17524</v>
      </c>
      <c r="S43" s="186">
        <v>13</v>
      </c>
      <c r="T43" s="187">
        <v>1630</v>
      </c>
      <c r="U43" s="188">
        <f t="shared" si="25"/>
        <v>21190</v>
      </c>
      <c r="V43" s="189">
        <v>13</v>
      </c>
      <c r="W43" s="189">
        <v>1430.04</v>
      </c>
      <c r="X43" s="189">
        <f t="shared" si="26"/>
        <v>18590.52</v>
      </c>
      <c r="Y43" s="186">
        <v>13</v>
      </c>
      <c r="Z43" s="187">
        <v>1516.93</v>
      </c>
      <c r="AA43" s="188">
        <f t="shared" si="27"/>
        <v>19720.09</v>
      </c>
      <c r="AB43" s="183">
        <v>13</v>
      </c>
      <c r="AC43" s="184">
        <v>1246.5899999999999</v>
      </c>
      <c r="AD43" s="185">
        <f t="shared" si="28"/>
        <v>16205.669999999998</v>
      </c>
      <c r="AE43" s="190"/>
      <c r="AF43" s="191"/>
      <c r="AG43" s="191"/>
      <c r="AH43" s="191"/>
      <c r="AI43" s="191">
        <f t="shared" si="8"/>
        <v>0</v>
      </c>
      <c r="AJ43" s="193"/>
      <c r="AK43" s="193"/>
      <c r="AL43" s="193"/>
      <c r="AM43" s="193"/>
      <c r="AN43" s="194"/>
      <c r="AO43" s="195"/>
      <c r="AP43" s="196">
        <f t="shared" si="19"/>
        <v>1011.92</v>
      </c>
      <c r="AQ43" s="196">
        <f t="shared" si="29"/>
        <v>13154.96</v>
      </c>
    </row>
    <row r="44" spans="1:43" s="157" customFormat="1" ht="105" customHeight="1">
      <c r="A44" s="179">
        <v>32</v>
      </c>
      <c r="B44" s="180" t="s">
        <v>214</v>
      </c>
      <c r="C44" s="357" t="s">
        <v>208</v>
      </c>
      <c r="D44" s="357"/>
      <c r="E44" s="181" t="s">
        <v>165</v>
      </c>
      <c r="F44" s="182">
        <v>13</v>
      </c>
      <c r="G44" s="183">
        <v>13</v>
      </c>
      <c r="H44" s="214">
        <v>9306.6299999999992</v>
      </c>
      <c r="I44" s="185">
        <f t="shared" si="21"/>
        <v>120986.18999999999</v>
      </c>
      <c r="J44" s="199">
        <v>13</v>
      </c>
      <c r="K44" s="215">
        <v>3581.24</v>
      </c>
      <c r="L44" s="185">
        <f t="shared" si="22"/>
        <v>46556.119999999995</v>
      </c>
      <c r="M44" s="183">
        <v>13</v>
      </c>
      <c r="N44" s="184">
        <v>2120.7199999999998</v>
      </c>
      <c r="O44" s="185">
        <f t="shared" si="23"/>
        <v>27569.359999999997</v>
      </c>
      <c r="P44" s="183">
        <v>13</v>
      </c>
      <c r="Q44" s="184">
        <v>3309</v>
      </c>
      <c r="R44" s="185">
        <f t="shared" si="30"/>
        <v>43017</v>
      </c>
      <c r="S44" s="186">
        <v>13</v>
      </c>
      <c r="T44" s="187">
        <v>6174</v>
      </c>
      <c r="U44" s="188">
        <f t="shared" si="25"/>
        <v>80262</v>
      </c>
      <c r="V44" s="189">
        <v>13</v>
      </c>
      <c r="W44" s="189">
        <v>5286.34</v>
      </c>
      <c r="X44" s="189">
        <f t="shared" si="26"/>
        <v>68722.42</v>
      </c>
      <c r="Y44" s="186">
        <v>13</v>
      </c>
      <c r="Z44" s="187">
        <v>2600.38</v>
      </c>
      <c r="AA44" s="188">
        <f t="shared" si="27"/>
        <v>33804.94</v>
      </c>
      <c r="AB44" s="183">
        <v>13</v>
      </c>
      <c r="AC44" s="184">
        <v>7633.75</v>
      </c>
      <c r="AD44" s="185">
        <f t="shared" si="28"/>
        <v>99238.75</v>
      </c>
      <c r="AE44" s="190"/>
      <c r="AF44" s="191"/>
      <c r="AG44" s="191"/>
      <c r="AH44" s="191"/>
      <c r="AI44" s="191">
        <f t="shared" si="8"/>
        <v>0</v>
      </c>
      <c r="AJ44" s="193"/>
      <c r="AK44" s="193"/>
      <c r="AL44" s="193"/>
      <c r="AM44" s="193"/>
      <c r="AN44" s="194"/>
      <c r="AO44" s="195"/>
      <c r="AP44" s="196">
        <f t="shared" si="19"/>
        <v>2120.7199999999998</v>
      </c>
      <c r="AQ44" s="196">
        <f t="shared" si="29"/>
        <v>27569.359999999997</v>
      </c>
    </row>
    <row r="45" spans="1:43" s="157" customFormat="1" ht="105" customHeight="1">
      <c r="A45" s="179">
        <v>33</v>
      </c>
      <c r="B45" s="180" t="s">
        <v>215</v>
      </c>
      <c r="C45" s="357" t="s">
        <v>213</v>
      </c>
      <c r="D45" s="357"/>
      <c r="E45" s="181" t="s">
        <v>165</v>
      </c>
      <c r="F45" s="182">
        <v>40</v>
      </c>
      <c r="G45" s="183">
        <v>40</v>
      </c>
      <c r="H45" s="214">
        <v>500.8</v>
      </c>
      <c r="I45" s="185">
        <f t="shared" si="21"/>
        <v>20032</v>
      </c>
      <c r="J45" s="183">
        <v>40</v>
      </c>
      <c r="K45" s="202">
        <v>461.5</v>
      </c>
      <c r="L45" s="185">
        <f t="shared" si="22"/>
        <v>18460</v>
      </c>
      <c r="M45" s="199">
        <v>40</v>
      </c>
      <c r="N45" s="200">
        <v>214.06</v>
      </c>
      <c r="O45" s="201">
        <f t="shared" si="23"/>
        <v>8562.4</v>
      </c>
      <c r="P45" s="183">
        <v>40</v>
      </c>
      <c r="Q45" s="184">
        <v>264</v>
      </c>
      <c r="R45" s="185">
        <f t="shared" si="30"/>
        <v>10560</v>
      </c>
      <c r="S45" s="186">
        <v>40</v>
      </c>
      <c r="T45" s="187">
        <v>469</v>
      </c>
      <c r="U45" s="188">
        <f t="shared" si="25"/>
        <v>18760</v>
      </c>
      <c r="V45" s="189">
        <v>40</v>
      </c>
      <c r="W45" s="189">
        <v>301.06</v>
      </c>
      <c r="X45" s="189">
        <f t="shared" si="26"/>
        <v>12042.4</v>
      </c>
      <c r="Y45" s="186">
        <v>40</v>
      </c>
      <c r="Z45" s="187">
        <v>205.75</v>
      </c>
      <c r="AA45" s="188">
        <f t="shared" si="27"/>
        <v>8230</v>
      </c>
      <c r="AB45" s="183">
        <v>40</v>
      </c>
      <c r="AC45" s="184">
        <v>486</v>
      </c>
      <c r="AD45" s="185">
        <f t="shared" si="28"/>
        <v>19440</v>
      </c>
      <c r="AE45" s="190"/>
      <c r="AF45" s="191"/>
      <c r="AG45" s="191"/>
      <c r="AH45" s="191"/>
      <c r="AI45" s="191">
        <f t="shared" ref="AI45:AI76" si="31">AG45-AH45</f>
        <v>0</v>
      </c>
      <c r="AJ45" s="193"/>
      <c r="AK45" s="193"/>
      <c r="AL45" s="193"/>
      <c r="AM45" s="193"/>
      <c r="AN45" s="194"/>
      <c r="AO45" s="195"/>
      <c r="AP45" s="196">
        <f t="shared" si="19"/>
        <v>205.75</v>
      </c>
      <c r="AQ45" s="196">
        <f t="shared" si="29"/>
        <v>8230</v>
      </c>
    </row>
    <row r="46" spans="1:43" s="157" customFormat="1" ht="105" customHeight="1">
      <c r="A46" s="179">
        <v>34</v>
      </c>
      <c r="B46" s="180" t="s">
        <v>216</v>
      </c>
      <c r="C46" s="357" t="s">
        <v>217</v>
      </c>
      <c r="D46" s="357"/>
      <c r="E46" s="181" t="s">
        <v>165</v>
      </c>
      <c r="F46" s="182">
        <v>39</v>
      </c>
      <c r="G46" s="183">
        <v>39</v>
      </c>
      <c r="H46" s="214">
        <v>578.54</v>
      </c>
      <c r="I46" s="185">
        <f t="shared" si="21"/>
        <v>22563.059999999998</v>
      </c>
      <c r="J46" s="183">
        <v>39</v>
      </c>
      <c r="K46" s="202">
        <v>556.07000000000005</v>
      </c>
      <c r="L46" s="185">
        <f t="shared" si="22"/>
        <v>21686.730000000003</v>
      </c>
      <c r="M46" s="199">
        <v>39</v>
      </c>
      <c r="N46" s="200">
        <v>328.87</v>
      </c>
      <c r="O46" s="201">
        <f t="shared" si="23"/>
        <v>12825.93</v>
      </c>
      <c r="P46" s="183">
        <v>39</v>
      </c>
      <c r="Q46" s="184">
        <v>407</v>
      </c>
      <c r="R46" s="185">
        <f t="shared" si="30"/>
        <v>15873</v>
      </c>
      <c r="S46" s="186">
        <v>39</v>
      </c>
      <c r="T46" s="187">
        <v>594</v>
      </c>
      <c r="U46" s="188">
        <f t="shared" si="25"/>
        <v>23166</v>
      </c>
      <c r="V46" s="189">
        <v>39</v>
      </c>
      <c r="W46" s="189">
        <v>464.6</v>
      </c>
      <c r="X46" s="189">
        <f t="shared" si="26"/>
        <v>18119.400000000001</v>
      </c>
      <c r="Y46" s="186">
        <v>39</v>
      </c>
      <c r="Z46" s="187">
        <v>293.58</v>
      </c>
      <c r="AA46" s="188">
        <f t="shared" si="27"/>
        <v>11449.619999999999</v>
      </c>
      <c r="AB46" s="183">
        <v>39</v>
      </c>
      <c r="AC46" s="184">
        <v>510</v>
      </c>
      <c r="AD46" s="185">
        <f t="shared" si="28"/>
        <v>19890</v>
      </c>
      <c r="AE46" s="190"/>
      <c r="AF46" s="191"/>
      <c r="AG46" s="191"/>
      <c r="AH46" s="191"/>
      <c r="AI46" s="191">
        <f t="shared" si="31"/>
        <v>0</v>
      </c>
      <c r="AJ46" s="193"/>
      <c r="AK46" s="193"/>
      <c r="AL46" s="193"/>
      <c r="AM46" s="193"/>
      <c r="AN46" s="194"/>
      <c r="AO46" s="195"/>
      <c r="AP46" s="196">
        <f t="shared" si="19"/>
        <v>293.58</v>
      </c>
      <c r="AQ46" s="196">
        <f t="shared" si="29"/>
        <v>11449.619999999999</v>
      </c>
    </row>
    <row r="47" spans="1:43" s="157" customFormat="1" ht="105" customHeight="1">
      <c r="A47" s="179">
        <v>35</v>
      </c>
      <c r="B47" s="180" t="s">
        <v>218</v>
      </c>
      <c r="C47" s="357" t="s">
        <v>219</v>
      </c>
      <c r="D47" s="357"/>
      <c r="E47" s="181" t="s">
        <v>165</v>
      </c>
      <c r="F47" s="182">
        <v>156</v>
      </c>
      <c r="G47" s="183">
        <v>156</v>
      </c>
      <c r="H47" s="214">
        <v>474.06</v>
      </c>
      <c r="I47" s="185">
        <f t="shared" si="21"/>
        <v>73953.36</v>
      </c>
      <c r="J47" s="183">
        <v>156</v>
      </c>
      <c r="K47" s="202">
        <v>440.34</v>
      </c>
      <c r="L47" s="185">
        <f t="shared" si="22"/>
        <v>68693.039999999994</v>
      </c>
      <c r="M47" s="199">
        <v>156</v>
      </c>
      <c r="N47" s="200">
        <v>247.14</v>
      </c>
      <c r="O47" s="201">
        <f t="shared" si="23"/>
        <v>38553.839999999997</v>
      </c>
      <c r="P47" s="183">
        <v>156</v>
      </c>
      <c r="Q47" s="184">
        <v>305</v>
      </c>
      <c r="R47" s="185">
        <f t="shared" si="30"/>
        <v>47580</v>
      </c>
      <c r="S47" s="186">
        <v>156</v>
      </c>
      <c r="T47" s="187">
        <v>495</v>
      </c>
      <c r="U47" s="188">
        <f t="shared" si="25"/>
        <v>77220</v>
      </c>
      <c r="V47" s="189">
        <v>156</v>
      </c>
      <c r="W47" s="189">
        <v>348.45</v>
      </c>
      <c r="X47" s="189">
        <f t="shared" si="26"/>
        <v>54358.2</v>
      </c>
      <c r="Y47" s="186">
        <v>156</v>
      </c>
      <c r="Z47" s="187">
        <v>242.85</v>
      </c>
      <c r="AA47" s="188">
        <f t="shared" si="27"/>
        <v>37884.6</v>
      </c>
      <c r="AB47" s="183">
        <v>156</v>
      </c>
      <c r="AC47" s="184">
        <v>562.5</v>
      </c>
      <c r="AD47" s="185">
        <f t="shared" si="28"/>
        <v>87750</v>
      </c>
      <c r="AE47" s="190"/>
      <c r="AF47" s="191"/>
      <c r="AG47" s="191"/>
      <c r="AH47" s="191"/>
      <c r="AI47" s="191">
        <f t="shared" si="31"/>
        <v>0</v>
      </c>
      <c r="AJ47" s="193"/>
      <c r="AK47" s="193"/>
      <c r="AL47" s="193"/>
      <c r="AM47" s="193"/>
      <c r="AN47" s="194"/>
      <c r="AO47" s="195"/>
      <c r="AP47" s="196">
        <f t="shared" si="19"/>
        <v>242.85</v>
      </c>
      <c r="AQ47" s="196">
        <f t="shared" si="29"/>
        <v>37884.6</v>
      </c>
    </row>
    <row r="48" spans="1:43" s="157" customFormat="1" ht="105" customHeight="1">
      <c r="A48" s="179">
        <v>36</v>
      </c>
      <c r="B48" s="180" t="s">
        <v>220</v>
      </c>
      <c r="C48" s="357" t="s">
        <v>213</v>
      </c>
      <c r="D48" s="357"/>
      <c r="E48" s="181" t="s">
        <v>165</v>
      </c>
      <c r="F48" s="182" t="s">
        <v>184</v>
      </c>
      <c r="G48" s="183">
        <v>1</v>
      </c>
      <c r="H48" s="214">
        <v>1246.1199999999999</v>
      </c>
      <c r="I48" s="185">
        <f t="shared" si="21"/>
        <v>1246.1199999999999</v>
      </c>
      <c r="J48" s="183">
        <v>1</v>
      </c>
      <c r="K48" s="202">
        <v>1470.27</v>
      </c>
      <c r="L48" s="185">
        <f t="shared" si="22"/>
        <v>1470.27</v>
      </c>
      <c r="M48" s="199">
        <v>1</v>
      </c>
      <c r="N48" s="200">
        <v>1199.71</v>
      </c>
      <c r="O48" s="201">
        <f t="shared" si="23"/>
        <v>1199.71</v>
      </c>
      <c r="P48" s="183">
        <v>7</v>
      </c>
      <c r="Q48" s="184">
        <v>1484</v>
      </c>
      <c r="R48" s="185">
        <f t="shared" si="30"/>
        <v>10388</v>
      </c>
      <c r="S48" s="186">
        <v>1</v>
      </c>
      <c r="T48" s="187">
        <v>1208</v>
      </c>
      <c r="U48" s="188">
        <f t="shared" si="25"/>
        <v>1208</v>
      </c>
      <c r="V48" s="363" t="s">
        <v>185</v>
      </c>
      <c r="W48" s="363"/>
      <c r="X48" s="363"/>
      <c r="Y48" s="363" t="s">
        <v>185</v>
      </c>
      <c r="Z48" s="363"/>
      <c r="AA48" s="363"/>
      <c r="AB48" s="183">
        <v>1</v>
      </c>
      <c r="AC48" s="184">
        <v>1313.28</v>
      </c>
      <c r="AD48" s="185">
        <f t="shared" si="28"/>
        <v>1313.28</v>
      </c>
      <c r="AE48" s="190"/>
      <c r="AF48" s="191"/>
      <c r="AG48" s="191"/>
      <c r="AH48" s="191"/>
      <c r="AI48" s="191">
        <f t="shared" si="31"/>
        <v>0</v>
      </c>
      <c r="AJ48" s="193"/>
      <c r="AK48" s="193"/>
      <c r="AL48" s="193"/>
      <c r="AM48" s="193"/>
      <c r="AN48" s="194"/>
      <c r="AO48" s="195"/>
      <c r="AP48" s="196">
        <f t="shared" si="19"/>
        <v>1199.71</v>
      </c>
      <c r="AQ48" s="196" t="str">
        <f>IFERROR(AP48*F48,"")</f>
        <v/>
      </c>
    </row>
    <row r="49" spans="1:43" s="157" customFormat="1" ht="105" customHeight="1">
      <c r="A49" s="179">
        <v>37</v>
      </c>
      <c r="B49" s="180" t="s">
        <v>221</v>
      </c>
      <c r="C49" s="357" t="s">
        <v>213</v>
      </c>
      <c r="D49" s="357"/>
      <c r="E49" s="181" t="s">
        <v>165</v>
      </c>
      <c r="F49" s="182">
        <v>18</v>
      </c>
      <c r="G49" s="183">
        <v>18</v>
      </c>
      <c r="H49" s="214">
        <v>5791.21</v>
      </c>
      <c r="I49" s="185">
        <f t="shared" si="21"/>
        <v>104241.78</v>
      </c>
      <c r="J49" s="216">
        <v>6</v>
      </c>
      <c r="K49" s="217">
        <v>4117.29</v>
      </c>
      <c r="L49" s="218">
        <f t="shared" si="22"/>
        <v>24703.739999999998</v>
      </c>
      <c r="M49" s="199">
        <v>18</v>
      </c>
      <c r="N49" s="200">
        <v>3103.87</v>
      </c>
      <c r="O49" s="201">
        <f t="shared" si="23"/>
        <v>55869.659999999996</v>
      </c>
      <c r="P49" s="183">
        <v>18</v>
      </c>
      <c r="Q49" s="184">
        <v>3990</v>
      </c>
      <c r="R49" s="185">
        <f t="shared" si="30"/>
        <v>71820</v>
      </c>
      <c r="S49" s="186">
        <v>18</v>
      </c>
      <c r="T49" s="187">
        <v>3664</v>
      </c>
      <c r="U49" s="188">
        <f t="shared" si="25"/>
        <v>65952</v>
      </c>
      <c r="V49" s="189">
        <v>18</v>
      </c>
      <c r="W49" s="189">
        <v>4390.47</v>
      </c>
      <c r="X49" s="189">
        <f t="shared" ref="X49:X58" si="32">V49*W49</f>
        <v>79028.460000000006</v>
      </c>
      <c r="Y49" s="186">
        <v>18</v>
      </c>
      <c r="Z49" s="187">
        <v>2757.83</v>
      </c>
      <c r="AA49" s="188">
        <f t="shared" ref="AA49:AA58" si="33">Y49*Z49</f>
        <v>49640.94</v>
      </c>
      <c r="AB49" s="183">
        <v>18</v>
      </c>
      <c r="AC49" s="184">
        <v>5145.55</v>
      </c>
      <c r="AD49" s="185">
        <f t="shared" si="28"/>
        <v>92619.900000000009</v>
      </c>
      <c r="AE49" s="190"/>
      <c r="AF49" s="191"/>
      <c r="AG49" s="191"/>
      <c r="AH49" s="191"/>
      <c r="AI49" s="191">
        <f t="shared" si="31"/>
        <v>0</v>
      </c>
      <c r="AJ49" s="193"/>
      <c r="AK49" s="193"/>
      <c r="AL49" s="193"/>
      <c r="AM49" s="193"/>
      <c r="AN49" s="194"/>
      <c r="AO49" s="195"/>
      <c r="AP49" s="196">
        <f t="shared" si="19"/>
        <v>2757.83</v>
      </c>
      <c r="AQ49" s="196">
        <f>AP49*F49</f>
        <v>49640.94</v>
      </c>
    </row>
    <row r="50" spans="1:43" s="157" customFormat="1" ht="105" customHeight="1">
      <c r="A50" s="179">
        <v>38</v>
      </c>
      <c r="B50" s="180" t="s">
        <v>222</v>
      </c>
      <c r="C50" s="357" t="s">
        <v>213</v>
      </c>
      <c r="D50" s="357"/>
      <c r="E50" s="181" t="s">
        <v>165</v>
      </c>
      <c r="F50" s="182">
        <v>3</v>
      </c>
      <c r="G50" s="183">
        <v>3</v>
      </c>
      <c r="H50" s="214">
        <v>3769.31</v>
      </c>
      <c r="I50" s="185">
        <f t="shared" si="21"/>
        <v>11307.93</v>
      </c>
      <c r="J50" s="359" t="s">
        <v>185</v>
      </c>
      <c r="K50" s="359"/>
      <c r="L50" s="359"/>
      <c r="M50" s="199">
        <v>3</v>
      </c>
      <c r="N50" s="200">
        <v>1731.94</v>
      </c>
      <c r="O50" s="201">
        <f t="shared" si="23"/>
        <v>5195.82</v>
      </c>
      <c r="P50" s="183">
        <v>3</v>
      </c>
      <c r="Q50" s="184">
        <v>2217</v>
      </c>
      <c r="R50" s="185">
        <f t="shared" si="30"/>
        <v>6651</v>
      </c>
      <c r="S50" s="186">
        <v>3</v>
      </c>
      <c r="T50" s="187">
        <v>2303</v>
      </c>
      <c r="U50" s="188">
        <f t="shared" si="25"/>
        <v>6909</v>
      </c>
      <c r="V50" s="189">
        <v>3</v>
      </c>
      <c r="W50" s="189">
        <v>2439.15</v>
      </c>
      <c r="X50" s="189">
        <f t="shared" si="32"/>
        <v>7317.4500000000007</v>
      </c>
      <c r="Y50" s="186">
        <v>3</v>
      </c>
      <c r="Z50" s="187">
        <v>1622.96</v>
      </c>
      <c r="AA50" s="188">
        <f t="shared" si="33"/>
        <v>4868.88</v>
      </c>
      <c r="AB50" s="183">
        <v>3</v>
      </c>
      <c r="AC50" s="184">
        <v>3347.5</v>
      </c>
      <c r="AD50" s="185">
        <f t="shared" si="28"/>
        <v>10042.5</v>
      </c>
      <c r="AE50" s="190"/>
      <c r="AF50" s="191"/>
      <c r="AG50" s="191"/>
      <c r="AH50" s="191"/>
      <c r="AI50" s="191">
        <f t="shared" si="31"/>
        <v>0</v>
      </c>
      <c r="AJ50" s="193"/>
      <c r="AK50" s="193"/>
      <c r="AL50" s="193"/>
      <c r="AM50" s="193"/>
      <c r="AN50" s="194"/>
      <c r="AO50" s="195"/>
      <c r="AP50" s="196">
        <f t="shared" si="19"/>
        <v>1622.96</v>
      </c>
      <c r="AQ50" s="196">
        <f>AP50*F50</f>
        <v>4868.88</v>
      </c>
    </row>
    <row r="51" spans="1:43" s="157" customFormat="1" ht="105" customHeight="1">
      <c r="A51" s="179">
        <v>39</v>
      </c>
      <c r="B51" s="180" t="s">
        <v>223</v>
      </c>
      <c r="C51" s="357" t="s">
        <v>213</v>
      </c>
      <c r="D51" s="357"/>
      <c r="E51" s="181" t="s">
        <v>165</v>
      </c>
      <c r="F51" s="182">
        <v>21</v>
      </c>
      <c r="G51" s="183">
        <v>21</v>
      </c>
      <c r="H51" s="214">
        <v>753.52</v>
      </c>
      <c r="I51" s="185">
        <f t="shared" si="21"/>
        <v>15823.92</v>
      </c>
      <c r="J51" s="183">
        <v>21</v>
      </c>
      <c r="K51" s="202">
        <v>914.91</v>
      </c>
      <c r="L51" s="185">
        <f>J51*K51</f>
        <v>19213.11</v>
      </c>
      <c r="M51" s="199">
        <v>21</v>
      </c>
      <c r="N51" s="200">
        <v>694.72</v>
      </c>
      <c r="O51" s="201">
        <f t="shared" si="23"/>
        <v>14589.12</v>
      </c>
      <c r="P51" s="183">
        <v>21</v>
      </c>
      <c r="Q51" s="202">
        <v>859</v>
      </c>
      <c r="R51" s="185">
        <f t="shared" si="30"/>
        <v>18039</v>
      </c>
      <c r="S51" s="186">
        <v>21</v>
      </c>
      <c r="T51" s="187">
        <v>860</v>
      </c>
      <c r="U51" s="188">
        <f t="shared" si="25"/>
        <v>18060</v>
      </c>
      <c r="V51" s="189">
        <v>21</v>
      </c>
      <c r="W51" s="189">
        <v>981.47</v>
      </c>
      <c r="X51" s="189">
        <f t="shared" si="32"/>
        <v>20610.87</v>
      </c>
      <c r="Y51" s="186">
        <v>21</v>
      </c>
      <c r="Z51" s="187">
        <v>442.21</v>
      </c>
      <c r="AA51" s="188">
        <f t="shared" si="33"/>
        <v>9286.41</v>
      </c>
      <c r="AB51" s="183">
        <v>21</v>
      </c>
      <c r="AC51" s="184">
        <v>760.5</v>
      </c>
      <c r="AD51" s="185">
        <f t="shared" si="28"/>
        <v>15970.5</v>
      </c>
      <c r="AE51" s="190"/>
      <c r="AF51" s="191"/>
      <c r="AG51" s="191"/>
      <c r="AH51" s="191"/>
      <c r="AI51" s="191">
        <f t="shared" si="31"/>
        <v>0</v>
      </c>
      <c r="AJ51" s="193"/>
      <c r="AK51" s="193"/>
      <c r="AL51" s="193"/>
      <c r="AM51" s="193"/>
      <c r="AN51" s="194"/>
      <c r="AO51" s="195"/>
      <c r="AP51" s="196">
        <f t="shared" si="19"/>
        <v>442.21</v>
      </c>
      <c r="AQ51" s="196">
        <f>AP51*F51</f>
        <v>9286.41</v>
      </c>
    </row>
    <row r="52" spans="1:43" s="157" customFormat="1" ht="105" customHeight="1">
      <c r="A52" s="179">
        <v>40</v>
      </c>
      <c r="B52" s="180" t="s">
        <v>224</v>
      </c>
      <c r="C52" s="357" t="s">
        <v>184</v>
      </c>
      <c r="D52" s="357"/>
      <c r="E52" s="181" t="s">
        <v>165</v>
      </c>
      <c r="F52" s="182">
        <v>26</v>
      </c>
      <c r="G52" s="183">
        <v>26</v>
      </c>
      <c r="H52" s="214">
        <v>358.62</v>
      </c>
      <c r="I52" s="185">
        <f t="shared" si="21"/>
        <v>9324.1200000000008</v>
      </c>
      <c r="J52" s="183">
        <v>26</v>
      </c>
      <c r="K52" s="202">
        <v>25656.94</v>
      </c>
      <c r="L52" s="185">
        <f>J52*K52</f>
        <v>667080.43999999994</v>
      </c>
      <c r="M52" s="199">
        <v>26</v>
      </c>
      <c r="N52" s="200">
        <v>107.03</v>
      </c>
      <c r="O52" s="201">
        <f t="shared" si="23"/>
        <v>2782.78</v>
      </c>
      <c r="P52" s="183">
        <v>26</v>
      </c>
      <c r="Q52" s="202">
        <v>132</v>
      </c>
      <c r="R52" s="185">
        <f t="shared" si="30"/>
        <v>3432</v>
      </c>
      <c r="S52" s="186">
        <v>26</v>
      </c>
      <c r="T52" s="187">
        <v>365</v>
      </c>
      <c r="U52" s="188">
        <f t="shared" si="25"/>
        <v>9490</v>
      </c>
      <c r="V52" s="189">
        <v>26</v>
      </c>
      <c r="W52" s="189">
        <v>150.07</v>
      </c>
      <c r="X52" s="189">
        <f t="shared" si="32"/>
        <v>3901.8199999999997</v>
      </c>
      <c r="Y52" s="186">
        <v>26</v>
      </c>
      <c r="Z52" s="187">
        <v>143.69999999999999</v>
      </c>
      <c r="AA52" s="188">
        <f t="shared" si="33"/>
        <v>3736.2</v>
      </c>
      <c r="AB52" s="183">
        <v>26</v>
      </c>
      <c r="AC52" s="184">
        <v>484.5</v>
      </c>
      <c r="AD52" s="185">
        <f t="shared" si="28"/>
        <v>12597</v>
      </c>
      <c r="AE52" s="190"/>
      <c r="AF52" s="191"/>
      <c r="AG52" s="191"/>
      <c r="AH52" s="191"/>
      <c r="AI52" s="191">
        <f t="shared" si="31"/>
        <v>0</v>
      </c>
      <c r="AJ52" s="193"/>
      <c r="AK52" s="193"/>
      <c r="AL52" s="193"/>
      <c r="AM52" s="193"/>
      <c r="AN52" s="194"/>
      <c r="AO52" s="195"/>
      <c r="AP52" s="196">
        <f t="shared" ref="AP52:AP83" si="34">MIN(H52,K52,N52,Q52,T52,W52,Z52,AC52)</f>
        <v>107.03</v>
      </c>
      <c r="AQ52" s="196">
        <f>AP52*F52</f>
        <v>2782.78</v>
      </c>
    </row>
    <row r="53" spans="1:43" s="157" customFormat="1" ht="105" customHeight="1">
      <c r="A53" s="179">
        <v>41</v>
      </c>
      <c r="B53" s="180" t="s">
        <v>225</v>
      </c>
      <c r="C53" s="357" t="s">
        <v>164</v>
      </c>
      <c r="D53" s="357"/>
      <c r="E53" s="181" t="s">
        <v>165</v>
      </c>
      <c r="F53" s="182" t="s">
        <v>184</v>
      </c>
      <c r="G53" s="183">
        <v>3</v>
      </c>
      <c r="H53" s="214">
        <v>32616.59</v>
      </c>
      <c r="I53" s="185">
        <f t="shared" si="21"/>
        <v>97849.77</v>
      </c>
      <c r="J53" s="183">
        <v>1</v>
      </c>
      <c r="K53" s="202">
        <v>20641.400000000001</v>
      </c>
      <c r="L53" s="185">
        <f>J53*K53</f>
        <v>20641.400000000001</v>
      </c>
      <c r="M53" s="199">
        <v>3</v>
      </c>
      <c r="N53" s="200">
        <v>21243.06</v>
      </c>
      <c r="O53" s="201">
        <f t="shared" si="23"/>
        <v>63729.180000000008</v>
      </c>
      <c r="P53" s="183">
        <v>3</v>
      </c>
      <c r="Q53" s="202">
        <v>42475</v>
      </c>
      <c r="R53" s="185">
        <f t="shared" si="30"/>
        <v>127425</v>
      </c>
      <c r="S53" s="186">
        <v>3</v>
      </c>
      <c r="T53" s="187">
        <v>23026</v>
      </c>
      <c r="U53" s="188">
        <f t="shared" si="25"/>
        <v>69078</v>
      </c>
      <c r="V53" s="189">
        <v>3</v>
      </c>
      <c r="W53" s="189">
        <v>38423.39</v>
      </c>
      <c r="X53" s="189">
        <f t="shared" si="32"/>
        <v>115270.17</v>
      </c>
      <c r="Y53" s="186">
        <v>3</v>
      </c>
      <c r="Z53" s="187">
        <v>20711.990000000002</v>
      </c>
      <c r="AA53" s="188">
        <f t="shared" si="33"/>
        <v>62135.97</v>
      </c>
      <c r="AB53" s="183">
        <v>3</v>
      </c>
      <c r="AC53" s="184">
        <v>38252.559999999998</v>
      </c>
      <c r="AD53" s="185">
        <f t="shared" si="28"/>
        <v>114757.68</v>
      </c>
      <c r="AE53" s="190"/>
      <c r="AF53" s="191"/>
      <c r="AG53" s="191"/>
      <c r="AH53" s="191"/>
      <c r="AI53" s="191">
        <f t="shared" si="31"/>
        <v>0</v>
      </c>
      <c r="AJ53" s="193"/>
      <c r="AK53" s="193"/>
      <c r="AL53" s="193"/>
      <c r="AM53" s="193"/>
      <c r="AN53" s="194"/>
      <c r="AO53" s="195"/>
      <c r="AP53" s="196">
        <f t="shared" si="34"/>
        <v>20641.400000000001</v>
      </c>
      <c r="AQ53" s="196" t="str">
        <f>IFERROR(AP53*F53,"")</f>
        <v/>
      </c>
    </row>
    <row r="54" spans="1:43" s="157" customFormat="1" ht="105" customHeight="1">
      <c r="A54" s="179">
        <v>42</v>
      </c>
      <c r="B54" s="180" t="s">
        <v>226</v>
      </c>
      <c r="C54" s="364" t="s">
        <v>213</v>
      </c>
      <c r="D54" s="364"/>
      <c r="E54" s="181" t="s">
        <v>165</v>
      </c>
      <c r="F54" s="182">
        <v>3</v>
      </c>
      <c r="G54" s="183">
        <v>3</v>
      </c>
      <c r="H54" s="214">
        <v>3673.99</v>
      </c>
      <c r="I54" s="185">
        <f t="shared" si="21"/>
        <v>11021.97</v>
      </c>
      <c r="J54" s="183">
        <v>3</v>
      </c>
      <c r="K54" s="202">
        <v>3423.18</v>
      </c>
      <c r="L54" s="185">
        <f>J54*K54</f>
        <v>10269.539999999999</v>
      </c>
      <c r="M54" s="199">
        <v>3</v>
      </c>
      <c r="N54" s="200">
        <v>2666.02</v>
      </c>
      <c r="O54" s="201">
        <f t="shared" si="23"/>
        <v>7998.0599999999995</v>
      </c>
      <c r="P54" s="183">
        <v>3</v>
      </c>
      <c r="Q54" s="184">
        <v>3549</v>
      </c>
      <c r="R54" s="185">
        <f t="shared" si="30"/>
        <v>10647</v>
      </c>
      <c r="S54" s="186">
        <v>3</v>
      </c>
      <c r="T54" s="187">
        <v>3066</v>
      </c>
      <c r="U54" s="188">
        <f t="shared" si="25"/>
        <v>9198</v>
      </c>
      <c r="V54" s="189">
        <v>3</v>
      </c>
      <c r="W54" s="189">
        <v>3766.05</v>
      </c>
      <c r="X54" s="189">
        <f t="shared" si="32"/>
        <v>11298.150000000001</v>
      </c>
      <c r="Y54" s="186">
        <v>3</v>
      </c>
      <c r="Z54" s="187">
        <v>1898.88</v>
      </c>
      <c r="AA54" s="188">
        <f t="shared" si="33"/>
        <v>5696.64</v>
      </c>
      <c r="AB54" s="183">
        <v>3</v>
      </c>
      <c r="AC54" s="184">
        <v>4071</v>
      </c>
      <c r="AD54" s="185">
        <f t="shared" si="28"/>
        <v>12213</v>
      </c>
      <c r="AE54" s="190"/>
      <c r="AF54" s="191"/>
      <c r="AG54" s="191"/>
      <c r="AH54" s="191"/>
      <c r="AI54" s="191">
        <f t="shared" si="31"/>
        <v>0</v>
      </c>
      <c r="AJ54" s="193"/>
      <c r="AK54" s="193"/>
      <c r="AL54" s="193"/>
      <c r="AM54" s="193"/>
      <c r="AN54" s="194"/>
      <c r="AO54" s="195"/>
      <c r="AP54" s="196">
        <f t="shared" si="34"/>
        <v>1898.88</v>
      </c>
      <c r="AQ54" s="196">
        <f t="shared" ref="AQ54:AQ93" si="35">AP54*F54</f>
        <v>5696.64</v>
      </c>
    </row>
    <row r="55" spans="1:43" s="157" customFormat="1" ht="105" customHeight="1">
      <c r="A55" s="179">
        <v>43</v>
      </c>
      <c r="B55" s="182" t="s">
        <v>227</v>
      </c>
      <c r="C55" s="365" t="s">
        <v>228</v>
      </c>
      <c r="D55" s="365"/>
      <c r="E55" s="181" t="s">
        <v>165</v>
      </c>
      <c r="F55" s="180">
        <v>1</v>
      </c>
      <c r="G55" s="183">
        <v>1</v>
      </c>
      <c r="H55" s="214">
        <v>16271.77</v>
      </c>
      <c r="I55" s="185">
        <f t="shared" si="21"/>
        <v>16271.77</v>
      </c>
      <c r="J55" s="359" t="s">
        <v>185</v>
      </c>
      <c r="K55" s="359"/>
      <c r="L55" s="359"/>
      <c r="M55" s="199">
        <v>1</v>
      </c>
      <c r="N55" s="200">
        <v>7089.74</v>
      </c>
      <c r="O55" s="201">
        <f t="shared" si="23"/>
        <v>7089.74</v>
      </c>
      <c r="P55" s="183">
        <v>1</v>
      </c>
      <c r="Q55" s="184">
        <v>6557</v>
      </c>
      <c r="R55" s="185">
        <f t="shared" si="30"/>
        <v>6557</v>
      </c>
      <c r="S55" s="186">
        <v>1</v>
      </c>
      <c r="T55" s="187">
        <v>17347</v>
      </c>
      <c r="U55" s="188">
        <f t="shared" si="25"/>
        <v>17347</v>
      </c>
      <c r="V55" s="189">
        <v>1</v>
      </c>
      <c r="W55" s="189">
        <v>10202.91</v>
      </c>
      <c r="X55" s="189">
        <f t="shared" si="32"/>
        <v>10202.91</v>
      </c>
      <c r="Y55" s="186">
        <v>1</v>
      </c>
      <c r="Z55" s="187">
        <v>8900.66</v>
      </c>
      <c r="AA55" s="188">
        <f t="shared" si="33"/>
        <v>8900.66</v>
      </c>
      <c r="AB55" s="183">
        <v>1</v>
      </c>
      <c r="AC55" s="184">
        <v>15323.96</v>
      </c>
      <c r="AD55" s="185">
        <f t="shared" si="28"/>
        <v>15323.96</v>
      </c>
      <c r="AE55" s="190"/>
      <c r="AF55" s="191"/>
      <c r="AG55" s="191"/>
      <c r="AH55" s="191"/>
      <c r="AI55" s="191">
        <f t="shared" si="31"/>
        <v>0</v>
      </c>
      <c r="AJ55" s="193"/>
      <c r="AK55" s="193"/>
      <c r="AL55" s="193"/>
      <c r="AM55" s="193"/>
      <c r="AN55" s="194"/>
      <c r="AO55" s="195"/>
      <c r="AP55" s="196">
        <f t="shared" si="34"/>
        <v>6557</v>
      </c>
      <c r="AQ55" s="196">
        <f t="shared" si="35"/>
        <v>6557</v>
      </c>
    </row>
    <row r="56" spans="1:43" s="157" customFormat="1" ht="105" customHeight="1">
      <c r="A56" s="179">
        <v>44</v>
      </c>
      <c r="B56" s="182" t="s">
        <v>229</v>
      </c>
      <c r="C56" s="365" t="s">
        <v>228</v>
      </c>
      <c r="D56" s="365"/>
      <c r="E56" s="181" t="s">
        <v>165</v>
      </c>
      <c r="F56" s="180">
        <v>1</v>
      </c>
      <c r="G56" s="183">
        <v>1</v>
      </c>
      <c r="H56" s="214">
        <v>8162.55</v>
      </c>
      <c r="I56" s="185">
        <f t="shared" si="21"/>
        <v>8162.55</v>
      </c>
      <c r="J56" s="359" t="s">
        <v>185</v>
      </c>
      <c r="K56" s="359"/>
      <c r="L56" s="359"/>
      <c r="M56" s="199">
        <v>1</v>
      </c>
      <c r="N56" s="200">
        <v>7328.72</v>
      </c>
      <c r="O56" s="201">
        <f t="shared" si="23"/>
        <v>7328.72</v>
      </c>
      <c r="P56" s="183">
        <v>1</v>
      </c>
      <c r="Q56" s="184">
        <v>6777</v>
      </c>
      <c r="R56" s="185">
        <f t="shared" si="30"/>
        <v>6777</v>
      </c>
      <c r="S56" s="186">
        <v>1</v>
      </c>
      <c r="T56" s="187">
        <v>17351</v>
      </c>
      <c r="U56" s="188">
        <f t="shared" si="25"/>
        <v>17351</v>
      </c>
      <c r="V56" s="189">
        <v>1</v>
      </c>
      <c r="W56" s="189">
        <v>10545.19</v>
      </c>
      <c r="X56" s="189">
        <f t="shared" si="32"/>
        <v>10545.19</v>
      </c>
      <c r="Y56" s="186">
        <v>1</v>
      </c>
      <c r="Z56" s="187">
        <v>9199.26</v>
      </c>
      <c r="AA56" s="188">
        <f t="shared" si="33"/>
        <v>9199.26</v>
      </c>
      <c r="AB56" s="183">
        <v>1</v>
      </c>
      <c r="AC56" s="184">
        <v>10958.85</v>
      </c>
      <c r="AD56" s="185">
        <f t="shared" si="28"/>
        <v>10958.85</v>
      </c>
      <c r="AE56" s="190"/>
      <c r="AF56" s="191"/>
      <c r="AG56" s="191"/>
      <c r="AH56" s="191"/>
      <c r="AI56" s="191">
        <f t="shared" si="31"/>
        <v>0</v>
      </c>
      <c r="AJ56" s="193"/>
      <c r="AK56" s="193"/>
      <c r="AL56" s="193"/>
      <c r="AM56" s="193"/>
      <c r="AN56" s="194"/>
      <c r="AO56" s="195"/>
      <c r="AP56" s="196">
        <f t="shared" si="34"/>
        <v>6777</v>
      </c>
      <c r="AQ56" s="196">
        <f t="shared" si="35"/>
        <v>6777</v>
      </c>
    </row>
    <row r="57" spans="1:43" s="157" customFormat="1" ht="105" customHeight="1">
      <c r="A57" s="179">
        <v>45</v>
      </c>
      <c r="B57" s="182" t="s">
        <v>230</v>
      </c>
      <c r="C57" s="365" t="s">
        <v>228</v>
      </c>
      <c r="D57" s="365"/>
      <c r="E57" s="181" t="s">
        <v>165</v>
      </c>
      <c r="F57" s="180">
        <v>1</v>
      </c>
      <c r="G57" s="183">
        <v>1</v>
      </c>
      <c r="H57" s="214">
        <v>16072.56</v>
      </c>
      <c r="I57" s="185">
        <f t="shared" si="21"/>
        <v>16072.56</v>
      </c>
      <c r="J57" s="359" t="s">
        <v>185</v>
      </c>
      <c r="K57" s="359"/>
      <c r="L57" s="359"/>
      <c r="M57" s="199">
        <v>1</v>
      </c>
      <c r="N57" s="200">
        <v>7112.5</v>
      </c>
      <c r="O57" s="201">
        <f t="shared" si="23"/>
        <v>7112.5</v>
      </c>
      <c r="P57" s="183">
        <v>1</v>
      </c>
      <c r="Q57" s="184">
        <v>6570</v>
      </c>
      <c r="R57" s="185">
        <f t="shared" si="30"/>
        <v>6570</v>
      </c>
      <c r="S57" s="186">
        <v>1</v>
      </c>
      <c r="T57" s="187">
        <v>8438</v>
      </c>
      <c r="U57" s="188">
        <f t="shared" si="25"/>
        <v>8438</v>
      </c>
      <c r="V57" s="189">
        <v>1</v>
      </c>
      <c r="W57" s="189">
        <v>10222.379999999999</v>
      </c>
      <c r="X57" s="189">
        <f t="shared" si="32"/>
        <v>10222.379999999999</v>
      </c>
      <c r="Y57" s="186">
        <v>1</v>
      </c>
      <c r="Z57" s="187">
        <v>8917.65</v>
      </c>
      <c r="AA57" s="188">
        <f t="shared" si="33"/>
        <v>8917.65</v>
      </c>
      <c r="AB57" s="183">
        <v>1</v>
      </c>
      <c r="AC57" s="184">
        <v>15345.05</v>
      </c>
      <c r="AD57" s="185">
        <f t="shared" si="28"/>
        <v>15345.05</v>
      </c>
      <c r="AE57" s="190"/>
      <c r="AF57" s="191"/>
      <c r="AG57" s="191"/>
      <c r="AH57" s="191"/>
      <c r="AI57" s="191">
        <f t="shared" si="31"/>
        <v>0</v>
      </c>
      <c r="AJ57" s="193"/>
      <c r="AK57" s="193"/>
      <c r="AL57" s="193"/>
      <c r="AM57" s="193"/>
      <c r="AN57" s="194"/>
      <c r="AO57" s="195"/>
      <c r="AP57" s="196">
        <f t="shared" si="34"/>
        <v>6570</v>
      </c>
      <c r="AQ57" s="196">
        <f t="shared" si="35"/>
        <v>6570</v>
      </c>
    </row>
    <row r="58" spans="1:43" s="157" customFormat="1" ht="105" customHeight="1">
      <c r="A58" s="179">
        <v>46</v>
      </c>
      <c r="B58" s="182" t="s">
        <v>231</v>
      </c>
      <c r="C58" s="365" t="s">
        <v>228</v>
      </c>
      <c r="D58" s="365"/>
      <c r="E58" s="181" t="s">
        <v>165</v>
      </c>
      <c r="F58" s="180">
        <v>1</v>
      </c>
      <c r="G58" s="183">
        <v>1</v>
      </c>
      <c r="H58" s="214">
        <v>8304.08</v>
      </c>
      <c r="I58" s="185">
        <f t="shared" si="21"/>
        <v>8304.08</v>
      </c>
      <c r="J58" s="359" t="s">
        <v>185</v>
      </c>
      <c r="K58" s="359"/>
      <c r="L58" s="359"/>
      <c r="M58" s="199">
        <v>1</v>
      </c>
      <c r="N58" s="200">
        <v>7499.42</v>
      </c>
      <c r="O58" s="201">
        <f t="shared" si="23"/>
        <v>7499.42</v>
      </c>
      <c r="P58" s="183">
        <v>1</v>
      </c>
      <c r="Q58" s="184">
        <v>6132</v>
      </c>
      <c r="R58" s="185">
        <f t="shared" si="30"/>
        <v>6132</v>
      </c>
      <c r="S58" s="186">
        <v>1</v>
      </c>
      <c r="T58" s="187">
        <v>8487</v>
      </c>
      <c r="U58" s="188">
        <f t="shared" si="25"/>
        <v>8487</v>
      </c>
      <c r="V58" s="189">
        <v>1</v>
      </c>
      <c r="W58" s="189">
        <v>10796.27</v>
      </c>
      <c r="X58" s="189">
        <f t="shared" si="32"/>
        <v>10796.27</v>
      </c>
      <c r="Y58" s="186">
        <v>1</v>
      </c>
      <c r="Z58" s="187">
        <v>9418.2900000000009</v>
      </c>
      <c r="AA58" s="188">
        <f t="shared" si="33"/>
        <v>9418.2900000000009</v>
      </c>
      <c r="AB58" s="183">
        <v>1</v>
      </c>
      <c r="AC58" s="184">
        <v>11219.78</v>
      </c>
      <c r="AD58" s="185">
        <f t="shared" si="28"/>
        <v>11219.78</v>
      </c>
      <c r="AE58" s="190"/>
      <c r="AF58" s="191"/>
      <c r="AG58" s="191"/>
      <c r="AH58" s="191"/>
      <c r="AI58" s="191">
        <f t="shared" si="31"/>
        <v>0</v>
      </c>
      <c r="AJ58" s="193"/>
      <c r="AK58" s="193"/>
      <c r="AL58" s="193"/>
      <c r="AM58" s="193"/>
      <c r="AN58" s="194"/>
      <c r="AO58" s="195"/>
      <c r="AP58" s="196">
        <f t="shared" si="34"/>
        <v>6132</v>
      </c>
      <c r="AQ58" s="196">
        <f t="shared" si="35"/>
        <v>6132</v>
      </c>
    </row>
    <row r="59" spans="1:43" s="157" customFormat="1" ht="105" customHeight="1">
      <c r="A59" s="179">
        <v>47</v>
      </c>
      <c r="B59" s="182" t="s">
        <v>232</v>
      </c>
      <c r="C59" s="365" t="s">
        <v>228</v>
      </c>
      <c r="D59" s="365"/>
      <c r="E59" s="181" t="s">
        <v>165</v>
      </c>
      <c r="F59" s="180">
        <v>1</v>
      </c>
      <c r="G59" s="359" t="s">
        <v>185</v>
      </c>
      <c r="H59" s="359"/>
      <c r="I59" s="359"/>
      <c r="J59" s="359" t="s">
        <v>185</v>
      </c>
      <c r="K59" s="359"/>
      <c r="L59" s="359"/>
      <c r="M59" s="359" t="s">
        <v>185</v>
      </c>
      <c r="N59" s="359"/>
      <c r="O59" s="359"/>
      <c r="P59" s="359" t="s">
        <v>185</v>
      </c>
      <c r="Q59" s="359"/>
      <c r="R59" s="359"/>
      <c r="S59" s="359" t="s">
        <v>185</v>
      </c>
      <c r="T59" s="359"/>
      <c r="U59" s="359"/>
      <c r="V59" s="359" t="s">
        <v>185</v>
      </c>
      <c r="W59" s="359"/>
      <c r="X59" s="359"/>
      <c r="Y59" s="359" t="s">
        <v>185</v>
      </c>
      <c r="Z59" s="359"/>
      <c r="AA59" s="359"/>
      <c r="AB59" s="359" t="s">
        <v>185</v>
      </c>
      <c r="AC59" s="359"/>
      <c r="AD59" s="359"/>
      <c r="AE59" s="190"/>
      <c r="AF59" s="191"/>
      <c r="AG59" s="191"/>
      <c r="AH59" s="191"/>
      <c r="AI59" s="191">
        <f t="shared" si="31"/>
        <v>0</v>
      </c>
      <c r="AJ59" s="193"/>
      <c r="AK59" s="193"/>
      <c r="AL59" s="193"/>
      <c r="AM59" s="193"/>
      <c r="AN59" s="194"/>
      <c r="AO59" s="195"/>
      <c r="AP59" s="196">
        <f t="shared" si="34"/>
        <v>0</v>
      </c>
      <c r="AQ59" s="196">
        <f t="shared" si="35"/>
        <v>0</v>
      </c>
    </row>
    <row r="60" spans="1:43" s="157" customFormat="1" ht="105" customHeight="1">
      <c r="A60" s="179">
        <v>48</v>
      </c>
      <c r="B60" s="182" t="s">
        <v>233</v>
      </c>
      <c r="C60" s="365" t="s">
        <v>228</v>
      </c>
      <c r="D60" s="365"/>
      <c r="E60" s="181" t="s">
        <v>165</v>
      </c>
      <c r="F60" s="180">
        <v>1</v>
      </c>
      <c r="G60" s="359" t="s">
        <v>185</v>
      </c>
      <c r="H60" s="359"/>
      <c r="I60" s="359"/>
      <c r="J60" s="359" t="s">
        <v>185</v>
      </c>
      <c r="K60" s="359"/>
      <c r="L60" s="359"/>
      <c r="M60" s="359" t="s">
        <v>185</v>
      </c>
      <c r="N60" s="359"/>
      <c r="O60" s="359"/>
      <c r="P60" s="359" t="s">
        <v>185</v>
      </c>
      <c r="Q60" s="359"/>
      <c r="R60" s="359"/>
      <c r="S60" s="359" t="s">
        <v>185</v>
      </c>
      <c r="T60" s="359"/>
      <c r="U60" s="359"/>
      <c r="V60" s="359" t="s">
        <v>185</v>
      </c>
      <c r="W60" s="359"/>
      <c r="X60" s="359"/>
      <c r="Y60" s="359" t="s">
        <v>185</v>
      </c>
      <c r="Z60" s="359"/>
      <c r="AA60" s="359"/>
      <c r="AB60" s="359" t="s">
        <v>185</v>
      </c>
      <c r="AC60" s="359"/>
      <c r="AD60" s="359"/>
      <c r="AE60" s="190"/>
      <c r="AF60" s="191"/>
      <c r="AG60" s="191"/>
      <c r="AH60" s="191"/>
      <c r="AI60" s="191">
        <f t="shared" si="31"/>
        <v>0</v>
      </c>
      <c r="AJ60" s="193"/>
      <c r="AK60" s="193"/>
      <c r="AL60" s="193"/>
      <c r="AM60" s="193"/>
      <c r="AN60" s="194"/>
      <c r="AO60" s="195"/>
      <c r="AP60" s="196">
        <f t="shared" si="34"/>
        <v>0</v>
      </c>
      <c r="AQ60" s="196">
        <f t="shared" si="35"/>
        <v>0</v>
      </c>
    </row>
    <row r="61" spans="1:43" s="157" customFormat="1" ht="105" customHeight="1">
      <c r="A61" s="179">
        <v>49</v>
      </c>
      <c r="B61" s="182" t="s">
        <v>234</v>
      </c>
      <c r="C61" s="365" t="s">
        <v>235</v>
      </c>
      <c r="D61" s="365"/>
      <c r="E61" s="181" t="s">
        <v>165</v>
      </c>
      <c r="F61" s="180">
        <v>1</v>
      </c>
      <c r="G61" s="183">
        <v>1</v>
      </c>
      <c r="H61" s="214">
        <v>3140.9</v>
      </c>
      <c r="I61" s="185">
        <f t="shared" ref="I61:I69" si="36">G61*H61</f>
        <v>3140.9</v>
      </c>
      <c r="J61" s="359" t="s">
        <v>185</v>
      </c>
      <c r="K61" s="359"/>
      <c r="L61" s="359"/>
      <c r="M61" s="199">
        <v>1</v>
      </c>
      <c r="N61" s="200">
        <v>2540.54</v>
      </c>
      <c r="O61" s="201">
        <f t="shared" ref="O61:O103" si="37">M61*N61</f>
        <v>2540.54</v>
      </c>
      <c r="P61" s="183">
        <v>1</v>
      </c>
      <c r="Q61" s="184">
        <v>2712</v>
      </c>
      <c r="R61" s="185">
        <f t="shared" ref="R61:R98" si="38">P61*Q61</f>
        <v>2712</v>
      </c>
      <c r="S61" s="186">
        <v>1</v>
      </c>
      <c r="T61" s="187">
        <v>3197</v>
      </c>
      <c r="U61" s="188">
        <f t="shared" ref="U61:U99" si="39">S61*T61</f>
        <v>3197</v>
      </c>
      <c r="V61" s="189">
        <v>1</v>
      </c>
      <c r="W61" s="189">
        <v>2599.3200000000002</v>
      </c>
      <c r="X61" s="189">
        <f t="shared" ref="X61:X99" si="40">V61*W61</f>
        <v>2599.3200000000002</v>
      </c>
      <c r="Y61" s="186">
        <v>1</v>
      </c>
      <c r="Z61" s="187">
        <v>1844.46</v>
      </c>
      <c r="AA61" s="188">
        <f t="shared" ref="AA61:AA91" si="41">Y61*Z61</f>
        <v>1844.46</v>
      </c>
      <c r="AB61" s="183">
        <v>1</v>
      </c>
      <c r="AC61" s="184">
        <v>3762.7</v>
      </c>
      <c r="AD61" s="185">
        <f t="shared" ref="AD61:AD103" si="42">AB61*AC61</f>
        <v>3762.7</v>
      </c>
      <c r="AE61" s="190"/>
      <c r="AF61" s="191"/>
      <c r="AG61" s="191"/>
      <c r="AH61" s="191"/>
      <c r="AI61" s="191">
        <f t="shared" si="31"/>
        <v>0</v>
      </c>
      <c r="AJ61" s="193"/>
      <c r="AK61" s="193"/>
      <c r="AL61" s="193"/>
      <c r="AM61" s="193"/>
      <c r="AN61" s="194"/>
      <c r="AO61" s="195"/>
      <c r="AP61" s="196">
        <f t="shared" si="34"/>
        <v>1844.46</v>
      </c>
      <c r="AQ61" s="196">
        <f t="shared" si="35"/>
        <v>1844.46</v>
      </c>
    </row>
    <row r="62" spans="1:43" s="157" customFormat="1" ht="105" customHeight="1">
      <c r="A62" s="179">
        <v>50</v>
      </c>
      <c r="B62" s="182" t="s">
        <v>236</v>
      </c>
      <c r="C62" s="365" t="s">
        <v>237</v>
      </c>
      <c r="D62" s="365"/>
      <c r="E62" s="181" t="s">
        <v>165</v>
      </c>
      <c r="F62" s="180">
        <v>1</v>
      </c>
      <c r="G62" s="183">
        <v>1</v>
      </c>
      <c r="H62" s="214">
        <v>26994.65</v>
      </c>
      <c r="I62" s="185">
        <f t="shared" si="36"/>
        <v>26994.65</v>
      </c>
      <c r="J62" s="183">
        <v>1</v>
      </c>
      <c r="K62" s="202">
        <v>16546.12</v>
      </c>
      <c r="L62" s="185">
        <f t="shared" ref="L62:L69" si="43">J62*K62</f>
        <v>16546.12</v>
      </c>
      <c r="M62" s="199">
        <v>1</v>
      </c>
      <c r="N62" s="200">
        <v>15818.2</v>
      </c>
      <c r="O62" s="201">
        <f t="shared" si="37"/>
        <v>15818.2</v>
      </c>
      <c r="P62" s="183">
        <v>1</v>
      </c>
      <c r="Q62" s="184">
        <v>13613</v>
      </c>
      <c r="R62" s="185">
        <f t="shared" si="38"/>
        <v>13613</v>
      </c>
      <c r="S62" s="186">
        <v>1</v>
      </c>
      <c r="T62" s="187">
        <v>23877</v>
      </c>
      <c r="U62" s="188">
        <f t="shared" si="39"/>
        <v>23877</v>
      </c>
      <c r="V62" s="189">
        <v>1</v>
      </c>
      <c r="W62" s="189">
        <v>29294.1</v>
      </c>
      <c r="X62" s="189">
        <f t="shared" si="40"/>
        <v>29294.1</v>
      </c>
      <c r="Y62" s="186">
        <v>1</v>
      </c>
      <c r="Z62" s="187">
        <v>19840.099999999999</v>
      </c>
      <c r="AA62" s="188">
        <f t="shared" si="41"/>
        <v>19840.099999999999</v>
      </c>
      <c r="AB62" s="183">
        <v>1</v>
      </c>
      <c r="AC62" s="184">
        <v>70196.08</v>
      </c>
      <c r="AD62" s="185">
        <f t="shared" si="42"/>
        <v>70196.08</v>
      </c>
      <c r="AE62" s="190"/>
      <c r="AF62" s="191"/>
      <c r="AG62" s="191"/>
      <c r="AH62" s="191"/>
      <c r="AI62" s="191">
        <f t="shared" si="31"/>
        <v>0</v>
      </c>
      <c r="AJ62" s="193"/>
      <c r="AK62" s="193"/>
      <c r="AL62" s="193"/>
      <c r="AM62" s="193"/>
      <c r="AN62" s="194"/>
      <c r="AO62" s="195"/>
      <c r="AP62" s="196">
        <f t="shared" si="34"/>
        <v>13613</v>
      </c>
      <c r="AQ62" s="196">
        <f t="shared" si="35"/>
        <v>13613</v>
      </c>
    </row>
    <row r="63" spans="1:43" s="157" customFormat="1" ht="102.75" customHeight="1">
      <c r="A63" s="179">
        <v>51</v>
      </c>
      <c r="B63" s="182" t="s">
        <v>238</v>
      </c>
      <c r="C63" s="365" t="s">
        <v>237</v>
      </c>
      <c r="D63" s="365"/>
      <c r="E63" s="181" t="s">
        <v>165</v>
      </c>
      <c r="F63" s="180">
        <v>1</v>
      </c>
      <c r="G63" s="183">
        <v>1</v>
      </c>
      <c r="H63" s="214">
        <v>4755.18</v>
      </c>
      <c r="I63" s="185">
        <f t="shared" si="36"/>
        <v>4755.18</v>
      </c>
      <c r="J63" s="183">
        <v>1</v>
      </c>
      <c r="K63" s="202">
        <v>4443.75</v>
      </c>
      <c r="L63" s="185">
        <f t="shared" si="43"/>
        <v>4443.75</v>
      </c>
      <c r="M63" s="199">
        <v>1</v>
      </c>
      <c r="N63" s="200">
        <v>2899.76</v>
      </c>
      <c r="O63" s="201">
        <f t="shared" si="37"/>
        <v>2899.76</v>
      </c>
      <c r="P63" s="183">
        <v>1</v>
      </c>
      <c r="Q63" s="184">
        <v>3270</v>
      </c>
      <c r="R63" s="185">
        <f t="shared" si="38"/>
        <v>3270</v>
      </c>
      <c r="S63" s="186">
        <v>1</v>
      </c>
      <c r="T63" s="187">
        <v>4256</v>
      </c>
      <c r="U63" s="188">
        <f t="shared" si="39"/>
        <v>4256</v>
      </c>
      <c r="V63" s="189">
        <v>1</v>
      </c>
      <c r="W63" s="189">
        <v>5476.53</v>
      </c>
      <c r="X63" s="189">
        <f t="shared" si="40"/>
        <v>5476.53</v>
      </c>
      <c r="Y63" s="186">
        <v>1</v>
      </c>
      <c r="Z63" s="187">
        <v>4777.54</v>
      </c>
      <c r="AA63" s="188">
        <f t="shared" si="41"/>
        <v>4777.54</v>
      </c>
      <c r="AB63" s="183">
        <v>1</v>
      </c>
      <c r="AC63" s="184">
        <v>4969.92</v>
      </c>
      <c r="AD63" s="185">
        <f t="shared" si="42"/>
        <v>4969.92</v>
      </c>
      <c r="AE63" s="190"/>
      <c r="AF63" s="191"/>
      <c r="AG63" s="191"/>
      <c r="AH63" s="191"/>
      <c r="AI63" s="191">
        <f t="shared" si="31"/>
        <v>0</v>
      </c>
      <c r="AJ63" s="193"/>
      <c r="AK63" s="193"/>
      <c r="AL63" s="193"/>
      <c r="AM63" s="193"/>
      <c r="AN63" s="194"/>
      <c r="AO63" s="195"/>
      <c r="AP63" s="196">
        <f t="shared" si="34"/>
        <v>2899.76</v>
      </c>
      <c r="AQ63" s="196">
        <f t="shared" si="35"/>
        <v>2899.76</v>
      </c>
    </row>
    <row r="64" spans="1:43" s="157" customFormat="1" ht="105" customHeight="1">
      <c r="A64" s="179">
        <v>52</v>
      </c>
      <c r="B64" s="182" t="s">
        <v>239</v>
      </c>
      <c r="C64" s="365" t="s">
        <v>237</v>
      </c>
      <c r="D64" s="365"/>
      <c r="E64" s="181" t="s">
        <v>165</v>
      </c>
      <c r="F64" s="180">
        <v>1</v>
      </c>
      <c r="G64" s="183">
        <v>1</v>
      </c>
      <c r="H64" s="214">
        <v>4933.6099999999997</v>
      </c>
      <c r="I64" s="185">
        <f t="shared" si="36"/>
        <v>4933.6099999999997</v>
      </c>
      <c r="J64" s="183">
        <v>1</v>
      </c>
      <c r="K64" s="202">
        <v>6452.2</v>
      </c>
      <c r="L64" s="185">
        <f t="shared" si="43"/>
        <v>6452.2</v>
      </c>
      <c r="M64" s="199">
        <v>1</v>
      </c>
      <c r="N64" s="200">
        <v>3083.7</v>
      </c>
      <c r="O64" s="201">
        <f t="shared" si="37"/>
        <v>3083.7</v>
      </c>
      <c r="P64" s="183">
        <v>1</v>
      </c>
      <c r="Q64" s="184">
        <v>3474</v>
      </c>
      <c r="R64" s="185">
        <f t="shared" si="38"/>
        <v>3474</v>
      </c>
      <c r="S64" s="186">
        <v>1</v>
      </c>
      <c r="T64" s="187">
        <v>4361</v>
      </c>
      <c r="U64" s="188">
        <f t="shared" si="39"/>
        <v>4361</v>
      </c>
      <c r="V64" s="189">
        <v>1</v>
      </c>
      <c r="W64" s="189">
        <v>5818.81</v>
      </c>
      <c r="X64" s="189">
        <f t="shared" si="40"/>
        <v>5818.81</v>
      </c>
      <c r="Y64" s="186">
        <v>1</v>
      </c>
      <c r="Z64" s="187">
        <v>5076.13</v>
      </c>
      <c r="AA64" s="188">
        <f t="shared" si="41"/>
        <v>5076.13</v>
      </c>
      <c r="AB64" s="183">
        <v>1</v>
      </c>
      <c r="AC64" s="184">
        <v>5280.54</v>
      </c>
      <c r="AD64" s="185">
        <f t="shared" si="42"/>
        <v>5280.54</v>
      </c>
      <c r="AE64" s="190"/>
      <c r="AF64" s="191"/>
      <c r="AG64" s="191"/>
      <c r="AH64" s="191"/>
      <c r="AI64" s="191">
        <f t="shared" si="31"/>
        <v>0</v>
      </c>
      <c r="AJ64" s="193"/>
      <c r="AK64" s="193"/>
      <c r="AL64" s="193"/>
      <c r="AM64" s="193"/>
      <c r="AN64" s="194"/>
      <c r="AO64" s="195"/>
      <c r="AP64" s="196">
        <f t="shared" si="34"/>
        <v>3083.7</v>
      </c>
      <c r="AQ64" s="196">
        <f t="shared" si="35"/>
        <v>3083.7</v>
      </c>
    </row>
    <row r="65" spans="1:43" s="157" customFormat="1" ht="105" customHeight="1">
      <c r="A65" s="179">
        <v>53</v>
      </c>
      <c r="B65" s="182" t="s">
        <v>240</v>
      </c>
      <c r="C65" s="365" t="s">
        <v>237</v>
      </c>
      <c r="D65" s="365"/>
      <c r="E65" s="181" t="s">
        <v>165</v>
      </c>
      <c r="F65" s="180">
        <v>1</v>
      </c>
      <c r="G65" s="183">
        <v>1</v>
      </c>
      <c r="H65" s="214">
        <v>10856.29</v>
      </c>
      <c r="I65" s="185">
        <f t="shared" si="36"/>
        <v>10856.29</v>
      </c>
      <c r="J65" s="183">
        <v>1</v>
      </c>
      <c r="K65" s="202">
        <v>9831.3700000000008</v>
      </c>
      <c r="L65" s="185">
        <f t="shared" si="43"/>
        <v>9831.3700000000008</v>
      </c>
      <c r="M65" s="199">
        <v>1</v>
      </c>
      <c r="N65" s="200">
        <v>8634.36</v>
      </c>
      <c r="O65" s="201">
        <f t="shared" si="37"/>
        <v>8634.36</v>
      </c>
      <c r="P65" s="183">
        <v>1</v>
      </c>
      <c r="Q65" s="184">
        <v>10246</v>
      </c>
      <c r="R65" s="185">
        <f t="shared" si="38"/>
        <v>10246</v>
      </c>
      <c r="S65" s="186">
        <v>1</v>
      </c>
      <c r="T65" s="187">
        <v>12194</v>
      </c>
      <c r="U65" s="188">
        <f t="shared" si="39"/>
        <v>12194</v>
      </c>
      <c r="V65" s="189">
        <v>1</v>
      </c>
      <c r="W65" s="189">
        <v>16211.02</v>
      </c>
      <c r="X65" s="189">
        <f t="shared" si="40"/>
        <v>16211.02</v>
      </c>
      <c r="Y65" s="186">
        <v>1</v>
      </c>
      <c r="Z65" s="187">
        <v>10057.370000000001</v>
      </c>
      <c r="AA65" s="188">
        <f t="shared" si="41"/>
        <v>10057.370000000001</v>
      </c>
      <c r="AB65" s="183">
        <v>1</v>
      </c>
      <c r="AC65" s="184">
        <v>14598.63</v>
      </c>
      <c r="AD65" s="185">
        <f t="shared" si="42"/>
        <v>14598.63</v>
      </c>
      <c r="AE65" s="190"/>
      <c r="AF65" s="191"/>
      <c r="AG65" s="191"/>
      <c r="AH65" s="191"/>
      <c r="AI65" s="191">
        <f t="shared" si="31"/>
        <v>0</v>
      </c>
      <c r="AJ65" s="193"/>
      <c r="AK65" s="193"/>
      <c r="AL65" s="193"/>
      <c r="AM65" s="193"/>
      <c r="AN65" s="194"/>
      <c r="AO65" s="195"/>
      <c r="AP65" s="196">
        <f t="shared" si="34"/>
        <v>8634.36</v>
      </c>
      <c r="AQ65" s="196">
        <f t="shared" si="35"/>
        <v>8634.36</v>
      </c>
    </row>
    <row r="66" spans="1:43" s="157" customFormat="1" ht="105" customHeight="1">
      <c r="A66" s="179">
        <v>54</v>
      </c>
      <c r="B66" s="182" t="s">
        <v>241</v>
      </c>
      <c r="C66" s="365" t="s">
        <v>228</v>
      </c>
      <c r="D66" s="365"/>
      <c r="E66" s="181" t="s">
        <v>165</v>
      </c>
      <c r="F66" s="180">
        <v>1</v>
      </c>
      <c r="G66" s="183">
        <v>1</v>
      </c>
      <c r="H66" s="214">
        <v>1064.8</v>
      </c>
      <c r="I66" s="185">
        <f t="shared" si="36"/>
        <v>1064.8</v>
      </c>
      <c r="J66" s="183">
        <v>11</v>
      </c>
      <c r="K66" s="202">
        <v>648.09</v>
      </c>
      <c r="L66" s="185">
        <f t="shared" si="43"/>
        <v>7128.9900000000007</v>
      </c>
      <c r="M66" s="199">
        <v>1</v>
      </c>
      <c r="N66" s="200">
        <v>649.20000000000005</v>
      </c>
      <c r="O66" s="201">
        <f t="shared" si="37"/>
        <v>649.20000000000005</v>
      </c>
      <c r="P66" s="183">
        <v>1</v>
      </c>
      <c r="Q66" s="184">
        <v>467</v>
      </c>
      <c r="R66" s="185">
        <f t="shared" si="38"/>
        <v>467</v>
      </c>
      <c r="S66" s="186">
        <v>1</v>
      </c>
      <c r="T66" s="187">
        <v>1038</v>
      </c>
      <c r="U66" s="188">
        <f t="shared" si="39"/>
        <v>1038</v>
      </c>
      <c r="V66" s="189">
        <v>1</v>
      </c>
      <c r="W66" s="189">
        <v>421.59</v>
      </c>
      <c r="X66" s="189">
        <f t="shared" si="40"/>
        <v>421.59</v>
      </c>
      <c r="Y66" s="186">
        <v>1</v>
      </c>
      <c r="Z66" s="187">
        <v>764.01</v>
      </c>
      <c r="AA66" s="188">
        <f t="shared" si="41"/>
        <v>764.01</v>
      </c>
      <c r="AB66" s="183">
        <v>1</v>
      </c>
      <c r="AC66" s="184">
        <v>1013.04</v>
      </c>
      <c r="AD66" s="185">
        <f t="shared" si="42"/>
        <v>1013.04</v>
      </c>
      <c r="AE66" s="190"/>
      <c r="AF66" s="191"/>
      <c r="AG66" s="191"/>
      <c r="AH66" s="191"/>
      <c r="AI66" s="191">
        <f t="shared" si="31"/>
        <v>0</v>
      </c>
      <c r="AJ66" s="193"/>
      <c r="AK66" s="193"/>
      <c r="AL66" s="193"/>
      <c r="AM66" s="193"/>
      <c r="AN66" s="194"/>
      <c r="AO66" s="195"/>
      <c r="AP66" s="196">
        <f t="shared" si="34"/>
        <v>421.59</v>
      </c>
      <c r="AQ66" s="196">
        <f t="shared" si="35"/>
        <v>421.59</v>
      </c>
    </row>
    <row r="67" spans="1:43" s="157" customFormat="1" ht="105" customHeight="1">
      <c r="A67" s="179">
        <v>55</v>
      </c>
      <c r="B67" s="182" t="s">
        <v>242</v>
      </c>
      <c r="C67" s="365" t="s">
        <v>237</v>
      </c>
      <c r="D67" s="365"/>
      <c r="E67" s="181" t="s">
        <v>165</v>
      </c>
      <c r="F67" s="180">
        <v>1</v>
      </c>
      <c r="G67" s="183">
        <v>26</v>
      </c>
      <c r="H67" s="214">
        <v>10036.35</v>
      </c>
      <c r="I67" s="185">
        <f t="shared" si="36"/>
        <v>260945.1</v>
      </c>
      <c r="J67" s="183">
        <v>26</v>
      </c>
      <c r="K67" s="202">
        <v>8143.42</v>
      </c>
      <c r="L67" s="185">
        <f t="shared" si="43"/>
        <v>211728.92</v>
      </c>
      <c r="M67" s="199">
        <v>26</v>
      </c>
      <c r="N67" s="200">
        <v>8699.2800000000007</v>
      </c>
      <c r="O67" s="201">
        <f t="shared" si="37"/>
        <v>226181.28000000003</v>
      </c>
      <c r="P67" s="183">
        <v>26</v>
      </c>
      <c r="Q67" s="184">
        <v>12827</v>
      </c>
      <c r="R67" s="185">
        <f t="shared" si="38"/>
        <v>333502</v>
      </c>
      <c r="S67" s="186">
        <v>26</v>
      </c>
      <c r="T67" s="187">
        <v>7982</v>
      </c>
      <c r="U67" s="188">
        <f t="shared" si="39"/>
        <v>207532</v>
      </c>
      <c r="V67" s="189">
        <v>26</v>
      </c>
      <c r="W67" s="189">
        <v>17917.38</v>
      </c>
      <c r="X67" s="189">
        <f t="shared" si="40"/>
        <v>465851.88</v>
      </c>
      <c r="Y67" s="186">
        <v>26</v>
      </c>
      <c r="Z67" s="187">
        <v>8685.8799999999992</v>
      </c>
      <c r="AA67" s="188">
        <f t="shared" si="41"/>
        <v>225832.87999999998</v>
      </c>
      <c r="AB67" s="183">
        <v>26</v>
      </c>
      <c r="AC67" s="184">
        <v>14208.68</v>
      </c>
      <c r="AD67" s="185">
        <f t="shared" si="42"/>
        <v>369425.68</v>
      </c>
      <c r="AE67" s="190"/>
      <c r="AF67" s="191"/>
      <c r="AG67" s="191"/>
      <c r="AH67" s="191"/>
      <c r="AI67" s="191">
        <f t="shared" si="31"/>
        <v>0</v>
      </c>
      <c r="AJ67" s="193"/>
      <c r="AK67" s="193"/>
      <c r="AL67" s="193"/>
      <c r="AM67" s="193"/>
      <c r="AN67" s="194"/>
      <c r="AO67" s="195"/>
      <c r="AP67" s="196">
        <f t="shared" si="34"/>
        <v>7982</v>
      </c>
      <c r="AQ67" s="196">
        <f t="shared" si="35"/>
        <v>7982</v>
      </c>
    </row>
    <row r="68" spans="1:43" s="157" customFormat="1" ht="105" customHeight="1">
      <c r="A68" s="179">
        <v>56</v>
      </c>
      <c r="B68" s="182" t="s">
        <v>243</v>
      </c>
      <c r="C68" s="365" t="s">
        <v>237</v>
      </c>
      <c r="D68" s="365"/>
      <c r="E68" s="181" t="s">
        <v>165</v>
      </c>
      <c r="F68" s="180">
        <v>1</v>
      </c>
      <c r="G68" s="183">
        <v>1</v>
      </c>
      <c r="H68" s="214">
        <v>4219.3599999999997</v>
      </c>
      <c r="I68" s="185">
        <f t="shared" si="36"/>
        <v>4219.3599999999997</v>
      </c>
      <c r="J68" s="183">
        <v>1</v>
      </c>
      <c r="K68" s="202">
        <v>3945.04</v>
      </c>
      <c r="L68" s="185">
        <f t="shared" si="43"/>
        <v>3945.04</v>
      </c>
      <c r="M68" s="199">
        <v>1</v>
      </c>
      <c r="N68" s="200">
        <v>3246</v>
      </c>
      <c r="O68" s="201">
        <f t="shared" si="37"/>
        <v>3246</v>
      </c>
      <c r="P68" s="183">
        <v>1</v>
      </c>
      <c r="Q68" s="184">
        <v>4778</v>
      </c>
      <c r="R68" s="185">
        <f t="shared" si="38"/>
        <v>4778</v>
      </c>
      <c r="S68" s="186">
        <v>1</v>
      </c>
      <c r="T68" s="187">
        <v>3656</v>
      </c>
      <c r="U68" s="188">
        <f t="shared" si="39"/>
        <v>3656</v>
      </c>
      <c r="V68" s="189">
        <v>1</v>
      </c>
      <c r="W68" s="189">
        <v>6673.68</v>
      </c>
      <c r="X68" s="189">
        <f t="shared" si="40"/>
        <v>6673.68</v>
      </c>
      <c r="Y68" s="186">
        <v>1</v>
      </c>
      <c r="Z68" s="187">
        <v>3856.49</v>
      </c>
      <c r="AA68" s="188">
        <f t="shared" si="41"/>
        <v>3856.49</v>
      </c>
      <c r="AB68" s="183">
        <v>1</v>
      </c>
      <c r="AC68" s="184">
        <v>5292.3</v>
      </c>
      <c r="AD68" s="185">
        <f t="shared" si="42"/>
        <v>5292.3</v>
      </c>
      <c r="AE68" s="190"/>
      <c r="AF68" s="191"/>
      <c r="AG68" s="191"/>
      <c r="AH68" s="191"/>
      <c r="AI68" s="191">
        <f t="shared" si="31"/>
        <v>0</v>
      </c>
      <c r="AJ68" s="193"/>
      <c r="AK68" s="193"/>
      <c r="AL68" s="193"/>
      <c r="AM68" s="193"/>
      <c r="AN68" s="194"/>
      <c r="AO68" s="195"/>
      <c r="AP68" s="196">
        <f t="shared" si="34"/>
        <v>3246</v>
      </c>
      <c r="AQ68" s="196">
        <f t="shared" si="35"/>
        <v>3246</v>
      </c>
    </row>
    <row r="69" spans="1:43" s="157" customFormat="1" ht="105" customHeight="1">
      <c r="A69" s="179">
        <v>57</v>
      </c>
      <c r="B69" s="182" t="s">
        <v>244</v>
      </c>
      <c r="C69" s="365" t="s">
        <v>245</v>
      </c>
      <c r="D69" s="365"/>
      <c r="E69" s="181" t="s">
        <v>165</v>
      </c>
      <c r="F69" s="180">
        <v>2</v>
      </c>
      <c r="G69" s="183">
        <v>2</v>
      </c>
      <c r="H69" s="214">
        <v>5228.59</v>
      </c>
      <c r="I69" s="185">
        <f t="shared" si="36"/>
        <v>10457.18</v>
      </c>
      <c r="J69" s="183">
        <v>2</v>
      </c>
      <c r="K69" s="202">
        <v>4662.43</v>
      </c>
      <c r="L69" s="185">
        <f t="shared" si="43"/>
        <v>9324.86</v>
      </c>
      <c r="M69" s="199">
        <v>2</v>
      </c>
      <c r="N69" s="200">
        <v>4648.2700000000004</v>
      </c>
      <c r="O69" s="201">
        <f t="shared" si="37"/>
        <v>9296.5400000000009</v>
      </c>
      <c r="P69" s="183">
        <v>2</v>
      </c>
      <c r="Q69" s="184">
        <v>6855</v>
      </c>
      <c r="R69" s="185">
        <f t="shared" si="38"/>
        <v>13710</v>
      </c>
      <c r="S69" s="186">
        <v>2</v>
      </c>
      <c r="T69" s="187">
        <v>4470</v>
      </c>
      <c r="U69" s="188">
        <f t="shared" si="39"/>
        <v>8940</v>
      </c>
      <c r="V69" s="189">
        <v>2</v>
      </c>
      <c r="W69" s="189">
        <v>9575.2800000000007</v>
      </c>
      <c r="X69" s="189">
        <f t="shared" si="40"/>
        <v>19150.560000000001</v>
      </c>
      <c r="Y69" s="186">
        <v>2</v>
      </c>
      <c r="Z69" s="187">
        <v>4821.3599999999997</v>
      </c>
      <c r="AA69" s="188">
        <f t="shared" si="41"/>
        <v>9642.7199999999993</v>
      </c>
      <c r="AB69" s="183">
        <v>2</v>
      </c>
      <c r="AC69" s="184">
        <v>7593.3</v>
      </c>
      <c r="AD69" s="185">
        <f t="shared" si="42"/>
        <v>15186.6</v>
      </c>
      <c r="AE69" s="190"/>
      <c r="AF69" s="191"/>
      <c r="AG69" s="191"/>
      <c r="AH69" s="191"/>
      <c r="AI69" s="191">
        <f t="shared" si="31"/>
        <v>0</v>
      </c>
      <c r="AJ69" s="193"/>
      <c r="AK69" s="193"/>
      <c r="AL69" s="193"/>
      <c r="AM69" s="193"/>
      <c r="AN69" s="194"/>
      <c r="AO69" s="195"/>
      <c r="AP69" s="196">
        <f t="shared" si="34"/>
        <v>4470</v>
      </c>
      <c r="AQ69" s="196">
        <f t="shared" si="35"/>
        <v>8940</v>
      </c>
    </row>
    <row r="70" spans="1:43" s="157" customFormat="1" ht="105" customHeight="1">
      <c r="A70" s="179">
        <v>58</v>
      </c>
      <c r="B70" s="182" t="s">
        <v>246</v>
      </c>
      <c r="C70" s="365" t="s">
        <v>237</v>
      </c>
      <c r="D70" s="365"/>
      <c r="E70" s="181" t="s">
        <v>165</v>
      </c>
      <c r="F70" s="180">
        <v>1</v>
      </c>
      <c r="G70" s="358" t="s">
        <v>185</v>
      </c>
      <c r="H70" s="358"/>
      <c r="I70" s="358"/>
      <c r="J70" s="358" t="s">
        <v>185</v>
      </c>
      <c r="K70" s="358"/>
      <c r="L70" s="358"/>
      <c r="M70" s="199">
        <v>1</v>
      </c>
      <c r="N70" s="200">
        <v>7033</v>
      </c>
      <c r="O70" s="201">
        <f t="shared" si="37"/>
        <v>7033</v>
      </c>
      <c r="P70" s="183">
        <v>1</v>
      </c>
      <c r="Q70" s="184">
        <v>5488</v>
      </c>
      <c r="R70" s="185">
        <f t="shared" si="38"/>
        <v>5488</v>
      </c>
      <c r="S70" s="186">
        <v>1</v>
      </c>
      <c r="T70" s="187">
        <v>6752</v>
      </c>
      <c r="U70" s="188">
        <f t="shared" si="39"/>
        <v>6752</v>
      </c>
      <c r="V70" s="189">
        <v>1</v>
      </c>
      <c r="W70" s="189">
        <v>7187.76</v>
      </c>
      <c r="X70" s="189">
        <f t="shared" si="40"/>
        <v>7187.76</v>
      </c>
      <c r="Y70" s="186">
        <v>1</v>
      </c>
      <c r="Z70" s="187">
        <v>3928.77</v>
      </c>
      <c r="AA70" s="188">
        <f t="shared" si="41"/>
        <v>3928.77</v>
      </c>
      <c r="AB70" s="183">
        <v>1</v>
      </c>
      <c r="AC70" s="184">
        <v>9792.6</v>
      </c>
      <c r="AD70" s="185">
        <f t="shared" si="42"/>
        <v>9792.6</v>
      </c>
      <c r="AE70" s="190"/>
      <c r="AF70" s="191"/>
      <c r="AG70" s="191"/>
      <c r="AH70" s="191"/>
      <c r="AI70" s="191">
        <f t="shared" si="31"/>
        <v>0</v>
      </c>
      <c r="AJ70" s="193"/>
      <c r="AK70" s="193"/>
      <c r="AL70" s="193"/>
      <c r="AM70" s="193"/>
      <c r="AN70" s="194"/>
      <c r="AO70" s="195"/>
      <c r="AP70" s="196">
        <f t="shared" si="34"/>
        <v>3928.77</v>
      </c>
      <c r="AQ70" s="196">
        <f t="shared" si="35"/>
        <v>3928.77</v>
      </c>
    </row>
    <row r="71" spans="1:43" s="157" customFormat="1" ht="105" customHeight="1">
      <c r="A71" s="179">
        <v>59</v>
      </c>
      <c r="B71" s="182" t="s">
        <v>247</v>
      </c>
      <c r="C71" s="365" t="s">
        <v>237</v>
      </c>
      <c r="D71" s="365"/>
      <c r="E71" s="181" t="s">
        <v>165</v>
      </c>
      <c r="F71" s="180">
        <v>1</v>
      </c>
      <c r="G71" s="183">
        <v>1</v>
      </c>
      <c r="H71" s="214">
        <v>13753.94</v>
      </c>
      <c r="I71" s="185">
        <f t="shared" ref="I71:I99" si="44">G71*H71</f>
        <v>13753.94</v>
      </c>
      <c r="J71" s="183">
        <v>1</v>
      </c>
      <c r="K71" s="202">
        <v>12377.71</v>
      </c>
      <c r="L71" s="185">
        <f t="shared" ref="L71:L76" si="45">J71*K71</f>
        <v>12377.71</v>
      </c>
      <c r="M71" s="199">
        <v>1</v>
      </c>
      <c r="N71" s="200">
        <v>11685.6</v>
      </c>
      <c r="O71" s="201">
        <f t="shared" si="37"/>
        <v>11685.6</v>
      </c>
      <c r="P71" s="183">
        <v>1</v>
      </c>
      <c r="Q71" s="184">
        <v>17241</v>
      </c>
      <c r="R71" s="185">
        <f t="shared" si="38"/>
        <v>17241</v>
      </c>
      <c r="S71" s="186">
        <v>1</v>
      </c>
      <c r="T71" s="187">
        <v>12115</v>
      </c>
      <c r="U71" s="188">
        <f t="shared" si="39"/>
        <v>12115</v>
      </c>
      <c r="V71" s="189">
        <v>1</v>
      </c>
      <c r="W71" s="189">
        <v>29158.9</v>
      </c>
      <c r="X71" s="189">
        <f t="shared" si="40"/>
        <v>29158.9</v>
      </c>
      <c r="Y71" s="186">
        <v>1</v>
      </c>
      <c r="Z71" s="187">
        <v>13357.55</v>
      </c>
      <c r="AA71" s="188">
        <f t="shared" si="41"/>
        <v>13357.55</v>
      </c>
      <c r="AB71" s="183">
        <v>1</v>
      </c>
      <c r="AC71" s="184">
        <v>19098.3</v>
      </c>
      <c r="AD71" s="185">
        <f t="shared" si="42"/>
        <v>19098.3</v>
      </c>
      <c r="AE71" s="190"/>
      <c r="AF71" s="191"/>
      <c r="AG71" s="191"/>
      <c r="AH71" s="191"/>
      <c r="AI71" s="191">
        <f t="shared" si="31"/>
        <v>0</v>
      </c>
      <c r="AJ71" s="193"/>
      <c r="AK71" s="193"/>
      <c r="AL71" s="193"/>
      <c r="AM71" s="193"/>
      <c r="AN71" s="194"/>
      <c r="AO71" s="195"/>
      <c r="AP71" s="196">
        <f t="shared" si="34"/>
        <v>11685.6</v>
      </c>
      <c r="AQ71" s="196">
        <f t="shared" si="35"/>
        <v>11685.6</v>
      </c>
    </row>
    <row r="72" spans="1:43" s="157" customFormat="1" ht="105" customHeight="1">
      <c r="A72" s="179">
        <v>60</v>
      </c>
      <c r="B72" s="182" t="s">
        <v>248</v>
      </c>
      <c r="C72" s="365" t="s">
        <v>237</v>
      </c>
      <c r="D72" s="365"/>
      <c r="E72" s="181" t="s">
        <v>165</v>
      </c>
      <c r="F72" s="180">
        <v>1</v>
      </c>
      <c r="G72" s="183">
        <v>1</v>
      </c>
      <c r="H72" s="214">
        <v>3789.9</v>
      </c>
      <c r="I72" s="185">
        <f t="shared" si="44"/>
        <v>3789.9</v>
      </c>
      <c r="J72" s="183">
        <v>1</v>
      </c>
      <c r="K72" s="202">
        <v>3631.22</v>
      </c>
      <c r="L72" s="185">
        <f t="shared" si="45"/>
        <v>3631.22</v>
      </c>
      <c r="M72" s="199">
        <v>1</v>
      </c>
      <c r="N72" s="200">
        <v>2629.26</v>
      </c>
      <c r="O72" s="201">
        <f t="shared" si="37"/>
        <v>2629.26</v>
      </c>
      <c r="P72" s="183">
        <v>1</v>
      </c>
      <c r="Q72" s="184">
        <v>3869</v>
      </c>
      <c r="R72" s="185">
        <f t="shared" si="38"/>
        <v>3869</v>
      </c>
      <c r="S72" s="186">
        <v>1</v>
      </c>
      <c r="T72" s="187">
        <v>3319</v>
      </c>
      <c r="U72" s="188">
        <f t="shared" si="39"/>
        <v>3319</v>
      </c>
      <c r="V72" s="189">
        <v>1</v>
      </c>
      <c r="W72" s="189">
        <v>5404.23</v>
      </c>
      <c r="X72" s="189">
        <f t="shared" si="40"/>
        <v>5404.23</v>
      </c>
      <c r="Y72" s="186">
        <v>1</v>
      </c>
      <c r="Z72" s="187">
        <v>3464.58</v>
      </c>
      <c r="AA72" s="188">
        <f t="shared" si="41"/>
        <v>3464.58</v>
      </c>
      <c r="AB72" s="183">
        <v>1</v>
      </c>
      <c r="AC72" s="184">
        <v>4285.6099999999997</v>
      </c>
      <c r="AD72" s="185">
        <f t="shared" si="42"/>
        <v>4285.6099999999997</v>
      </c>
      <c r="AE72" s="190"/>
      <c r="AF72" s="191"/>
      <c r="AG72" s="191"/>
      <c r="AH72" s="191"/>
      <c r="AI72" s="191">
        <f t="shared" si="31"/>
        <v>0</v>
      </c>
      <c r="AJ72" s="193"/>
      <c r="AK72" s="193"/>
      <c r="AL72" s="193"/>
      <c r="AM72" s="193"/>
      <c r="AN72" s="194"/>
      <c r="AO72" s="195"/>
      <c r="AP72" s="196">
        <f t="shared" si="34"/>
        <v>2629.26</v>
      </c>
      <c r="AQ72" s="196">
        <f t="shared" si="35"/>
        <v>2629.26</v>
      </c>
    </row>
    <row r="73" spans="1:43" s="157" customFormat="1" ht="105" customHeight="1">
      <c r="A73" s="179">
        <v>61</v>
      </c>
      <c r="B73" s="182" t="s">
        <v>249</v>
      </c>
      <c r="C73" s="365" t="s">
        <v>237</v>
      </c>
      <c r="D73" s="365"/>
      <c r="E73" s="181" t="s">
        <v>165</v>
      </c>
      <c r="F73" s="180">
        <v>1</v>
      </c>
      <c r="G73" s="183">
        <v>1</v>
      </c>
      <c r="H73" s="214">
        <v>6077.49</v>
      </c>
      <c r="I73" s="185">
        <f t="shared" si="44"/>
        <v>6077.49</v>
      </c>
      <c r="J73" s="183">
        <v>1</v>
      </c>
      <c r="K73" s="202">
        <v>3879.01</v>
      </c>
      <c r="L73" s="185">
        <f t="shared" si="45"/>
        <v>3879.01</v>
      </c>
      <c r="M73" s="199">
        <v>1</v>
      </c>
      <c r="N73" s="200">
        <v>3483.34</v>
      </c>
      <c r="O73" s="201">
        <f t="shared" si="37"/>
        <v>3483.34</v>
      </c>
      <c r="P73" s="183">
        <v>1</v>
      </c>
      <c r="Q73" s="184">
        <v>4964</v>
      </c>
      <c r="R73" s="185">
        <f t="shared" si="38"/>
        <v>4964</v>
      </c>
      <c r="S73" s="186">
        <v>1</v>
      </c>
      <c r="T73" s="187">
        <v>3206</v>
      </c>
      <c r="U73" s="188">
        <f t="shared" si="39"/>
        <v>3206</v>
      </c>
      <c r="V73" s="189">
        <v>1</v>
      </c>
      <c r="W73" s="189">
        <v>4917.33</v>
      </c>
      <c r="X73" s="189">
        <f t="shared" si="40"/>
        <v>4917.33</v>
      </c>
      <c r="Y73" s="186">
        <v>1</v>
      </c>
      <c r="Z73" s="187">
        <v>2223.2800000000002</v>
      </c>
      <c r="AA73" s="188">
        <f t="shared" si="41"/>
        <v>2223.2800000000002</v>
      </c>
      <c r="AB73" s="183">
        <v>1</v>
      </c>
      <c r="AC73" s="184">
        <v>5099.1000000000004</v>
      </c>
      <c r="AD73" s="185">
        <f t="shared" si="42"/>
        <v>5099.1000000000004</v>
      </c>
      <c r="AE73" s="190"/>
      <c r="AF73" s="191"/>
      <c r="AG73" s="191"/>
      <c r="AH73" s="191"/>
      <c r="AI73" s="191">
        <f t="shared" si="31"/>
        <v>0</v>
      </c>
      <c r="AJ73" s="193"/>
      <c r="AK73" s="193"/>
      <c r="AL73" s="193"/>
      <c r="AM73" s="193"/>
      <c r="AN73" s="194"/>
      <c r="AO73" s="195"/>
      <c r="AP73" s="196">
        <f t="shared" si="34"/>
        <v>2223.2800000000002</v>
      </c>
      <c r="AQ73" s="196">
        <f t="shared" si="35"/>
        <v>2223.2800000000002</v>
      </c>
    </row>
    <row r="74" spans="1:43" s="157" customFormat="1" ht="105" customHeight="1">
      <c r="A74" s="179">
        <v>62</v>
      </c>
      <c r="B74" s="182" t="s">
        <v>250</v>
      </c>
      <c r="C74" s="365" t="s">
        <v>251</v>
      </c>
      <c r="D74" s="365"/>
      <c r="E74" s="181" t="s">
        <v>165</v>
      </c>
      <c r="F74" s="180">
        <v>2</v>
      </c>
      <c r="G74" s="183">
        <v>2</v>
      </c>
      <c r="H74" s="214">
        <v>6343.77</v>
      </c>
      <c r="I74" s="185">
        <f t="shared" si="44"/>
        <v>12687.54</v>
      </c>
      <c r="J74" s="183">
        <v>2</v>
      </c>
      <c r="K74" s="202">
        <v>5315.91</v>
      </c>
      <c r="L74" s="185">
        <f t="shared" si="45"/>
        <v>10631.82</v>
      </c>
      <c r="M74" s="199">
        <v>2</v>
      </c>
      <c r="N74" s="200">
        <v>6721.38</v>
      </c>
      <c r="O74" s="201">
        <f t="shared" si="37"/>
        <v>13442.76</v>
      </c>
      <c r="P74" s="183">
        <v>2</v>
      </c>
      <c r="Q74" s="184">
        <v>7165</v>
      </c>
      <c r="R74" s="185">
        <f t="shared" si="38"/>
        <v>14330</v>
      </c>
      <c r="S74" s="186">
        <v>2</v>
      </c>
      <c r="T74" s="187">
        <v>4982</v>
      </c>
      <c r="U74" s="188">
        <f t="shared" si="39"/>
        <v>9964</v>
      </c>
      <c r="V74" s="189">
        <v>2</v>
      </c>
      <c r="W74" s="189">
        <v>6866.84</v>
      </c>
      <c r="X74" s="189">
        <f t="shared" si="40"/>
        <v>13733.68</v>
      </c>
      <c r="Y74" s="186">
        <v>2</v>
      </c>
      <c r="Z74" s="187">
        <v>4542.78</v>
      </c>
      <c r="AA74" s="188">
        <f t="shared" si="41"/>
        <v>9085.56</v>
      </c>
      <c r="AB74" s="183">
        <v>2</v>
      </c>
      <c r="AC74" s="184">
        <v>8626.81</v>
      </c>
      <c r="AD74" s="185">
        <f t="shared" si="42"/>
        <v>17253.62</v>
      </c>
      <c r="AE74" s="190"/>
      <c r="AF74" s="191"/>
      <c r="AG74" s="191"/>
      <c r="AH74" s="191"/>
      <c r="AI74" s="191">
        <f t="shared" si="31"/>
        <v>0</v>
      </c>
      <c r="AJ74" s="193"/>
      <c r="AK74" s="193"/>
      <c r="AL74" s="193"/>
      <c r="AM74" s="193"/>
      <c r="AN74" s="194"/>
      <c r="AO74" s="195"/>
      <c r="AP74" s="196">
        <f t="shared" si="34"/>
        <v>4542.78</v>
      </c>
      <c r="AQ74" s="196">
        <f t="shared" si="35"/>
        <v>9085.56</v>
      </c>
    </row>
    <row r="75" spans="1:43" s="157" customFormat="1" ht="105" customHeight="1">
      <c r="A75" s="179">
        <v>63</v>
      </c>
      <c r="B75" s="182" t="s">
        <v>252</v>
      </c>
      <c r="C75" s="365" t="s">
        <v>228</v>
      </c>
      <c r="D75" s="365"/>
      <c r="E75" s="181" t="s">
        <v>165</v>
      </c>
      <c r="F75" s="180">
        <v>1</v>
      </c>
      <c r="G75" s="183">
        <v>1</v>
      </c>
      <c r="H75" s="214">
        <v>9785.74</v>
      </c>
      <c r="I75" s="185">
        <f t="shared" si="44"/>
        <v>9785.74</v>
      </c>
      <c r="J75" s="183">
        <v>1</v>
      </c>
      <c r="K75" s="202">
        <v>8059.92</v>
      </c>
      <c r="L75" s="185">
        <f t="shared" si="45"/>
        <v>8059.92</v>
      </c>
      <c r="M75" s="199">
        <v>1</v>
      </c>
      <c r="N75" s="200">
        <v>6845.06</v>
      </c>
      <c r="O75" s="201">
        <f t="shared" si="37"/>
        <v>6845.06</v>
      </c>
      <c r="P75" s="183">
        <v>1</v>
      </c>
      <c r="Q75" s="184">
        <v>9104</v>
      </c>
      <c r="R75" s="185">
        <f t="shared" si="38"/>
        <v>9104</v>
      </c>
      <c r="S75" s="186">
        <v>1</v>
      </c>
      <c r="T75" s="187">
        <v>7310</v>
      </c>
      <c r="U75" s="188">
        <f t="shared" si="39"/>
        <v>7310</v>
      </c>
      <c r="V75" s="189">
        <v>1</v>
      </c>
      <c r="W75" s="189">
        <v>9660.43</v>
      </c>
      <c r="X75" s="189">
        <f t="shared" si="40"/>
        <v>9660.43</v>
      </c>
      <c r="Y75" s="186">
        <v>1</v>
      </c>
      <c r="Z75" s="187">
        <v>5478.71</v>
      </c>
      <c r="AA75" s="188">
        <f t="shared" si="41"/>
        <v>5478.71</v>
      </c>
      <c r="AB75" s="183">
        <v>1</v>
      </c>
      <c r="AC75" s="184">
        <v>9242.4</v>
      </c>
      <c r="AD75" s="185">
        <f t="shared" si="42"/>
        <v>9242.4</v>
      </c>
      <c r="AE75" s="190"/>
      <c r="AF75" s="191"/>
      <c r="AG75" s="191"/>
      <c r="AH75" s="191"/>
      <c r="AI75" s="191">
        <f t="shared" si="31"/>
        <v>0</v>
      </c>
      <c r="AJ75" s="193"/>
      <c r="AK75" s="193"/>
      <c r="AL75" s="193"/>
      <c r="AM75" s="193"/>
      <c r="AN75" s="194"/>
      <c r="AO75" s="195"/>
      <c r="AP75" s="196">
        <f t="shared" si="34"/>
        <v>5478.71</v>
      </c>
      <c r="AQ75" s="196">
        <f t="shared" si="35"/>
        <v>5478.71</v>
      </c>
    </row>
    <row r="76" spans="1:43" s="157" customFormat="1" ht="105" customHeight="1">
      <c r="A76" s="179">
        <v>64</v>
      </c>
      <c r="B76" s="182" t="s">
        <v>253</v>
      </c>
      <c r="C76" s="365" t="s">
        <v>251</v>
      </c>
      <c r="D76" s="365"/>
      <c r="E76" s="181" t="s">
        <v>165</v>
      </c>
      <c r="F76" s="180">
        <v>2</v>
      </c>
      <c r="G76" s="183">
        <v>2</v>
      </c>
      <c r="H76" s="214">
        <v>14677.71</v>
      </c>
      <c r="I76" s="185">
        <f t="shared" si="44"/>
        <v>29355.42</v>
      </c>
      <c r="J76" s="183">
        <v>2</v>
      </c>
      <c r="K76" s="202">
        <v>4264.54</v>
      </c>
      <c r="L76" s="185">
        <f t="shared" si="45"/>
        <v>8529.08</v>
      </c>
      <c r="M76" s="199">
        <v>2</v>
      </c>
      <c r="N76" s="200">
        <v>10294.34</v>
      </c>
      <c r="O76" s="201">
        <f t="shared" si="37"/>
        <v>20588.68</v>
      </c>
      <c r="P76" s="183">
        <v>2</v>
      </c>
      <c r="Q76" s="184">
        <v>13712</v>
      </c>
      <c r="R76" s="185">
        <f t="shared" si="38"/>
        <v>27424</v>
      </c>
      <c r="S76" s="186">
        <v>1</v>
      </c>
      <c r="T76" s="187">
        <v>10915</v>
      </c>
      <c r="U76" s="188">
        <f t="shared" si="39"/>
        <v>10915</v>
      </c>
      <c r="V76" s="189">
        <v>2</v>
      </c>
      <c r="W76" s="189">
        <v>14551.27</v>
      </c>
      <c r="X76" s="189">
        <f t="shared" si="40"/>
        <v>29102.54</v>
      </c>
      <c r="Y76" s="186">
        <v>2</v>
      </c>
      <c r="Z76" s="187">
        <v>8252.44</v>
      </c>
      <c r="AA76" s="188">
        <f t="shared" si="41"/>
        <v>16504.88</v>
      </c>
      <c r="AB76" s="183">
        <v>2</v>
      </c>
      <c r="AC76" s="184">
        <v>13770</v>
      </c>
      <c r="AD76" s="185">
        <f t="shared" si="42"/>
        <v>27540</v>
      </c>
      <c r="AE76" s="190"/>
      <c r="AF76" s="191"/>
      <c r="AG76" s="191"/>
      <c r="AH76" s="191"/>
      <c r="AI76" s="191">
        <f t="shared" si="31"/>
        <v>0</v>
      </c>
      <c r="AJ76" s="193"/>
      <c r="AK76" s="193"/>
      <c r="AL76" s="193"/>
      <c r="AM76" s="193"/>
      <c r="AN76" s="194"/>
      <c r="AO76" s="195"/>
      <c r="AP76" s="196">
        <f t="shared" si="34"/>
        <v>4264.54</v>
      </c>
      <c r="AQ76" s="196">
        <f t="shared" si="35"/>
        <v>8529.08</v>
      </c>
    </row>
    <row r="77" spans="1:43" s="157" customFormat="1" ht="105" customHeight="1">
      <c r="A77" s="179">
        <v>65</v>
      </c>
      <c r="B77" s="182" t="s">
        <v>254</v>
      </c>
      <c r="C77" s="365" t="s">
        <v>228</v>
      </c>
      <c r="D77" s="365"/>
      <c r="E77" s="181" t="s">
        <v>165</v>
      </c>
      <c r="F77" s="180">
        <v>1</v>
      </c>
      <c r="G77" s="183">
        <v>1</v>
      </c>
      <c r="H77" s="214">
        <v>6163.86</v>
      </c>
      <c r="I77" s="185">
        <f t="shared" si="44"/>
        <v>6163.86</v>
      </c>
      <c r="J77" s="358" t="s">
        <v>185</v>
      </c>
      <c r="K77" s="358"/>
      <c r="L77" s="358"/>
      <c r="M77" s="199">
        <v>1</v>
      </c>
      <c r="N77" s="200">
        <v>6081.25</v>
      </c>
      <c r="O77" s="201">
        <f t="shared" si="37"/>
        <v>6081.25</v>
      </c>
      <c r="P77" s="183">
        <v>1</v>
      </c>
      <c r="Q77" s="184">
        <v>11844</v>
      </c>
      <c r="R77" s="185">
        <f t="shared" si="38"/>
        <v>11844</v>
      </c>
      <c r="S77" s="186">
        <v>1</v>
      </c>
      <c r="T77" s="187">
        <v>7747</v>
      </c>
      <c r="U77" s="188">
        <f t="shared" si="39"/>
        <v>7747</v>
      </c>
      <c r="V77" s="189">
        <v>1</v>
      </c>
      <c r="W77" s="189">
        <v>8240.0400000000009</v>
      </c>
      <c r="X77" s="189">
        <f t="shared" si="40"/>
        <v>8240.0400000000009</v>
      </c>
      <c r="Y77" s="186">
        <v>1</v>
      </c>
      <c r="Z77" s="187">
        <v>3861.2</v>
      </c>
      <c r="AA77" s="188">
        <f t="shared" si="41"/>
        <v>3861.2</v>
      </c>
      <c r="AB77" s="183">
        <v>1</v>
      </c>
      <c r="AC77" s="184">
        <v>7489.26</v>
      </c>
      <c r="AD77" s="185">
        <f t="shared" si="42"/>
        <v>7489.26</v>
      </c>
      <c r="AE77" s="190"/>
      <c r="AF77" s="191"/>
      <c r="AG77" s="191"/>
      <c r="AH77" s="191"/>
      <c r="AI77" s="191">
        <f t="shared" ref="AI77:AI108" si="46">AG77-AH77</f>
        <v>0</v>
      </c>
      <c r="AJ77" s="193"/>
      <c r="AK77" s="193"/>
      <c r="AL77" s="193"/>
      <c r="AM77" s="193"/>
      <c r="AN77" s="194"/>
      <c r="AO77" s="195"/>
      <c r="AP77" s="196">
        <f t="shared" si="34"/>
        <v>3861.2</v>
      </c>
      <c r="AQ77" s="196">
        <f t="shared" si="35"/>
        <v>3861.2</v>
      </c>
    </row>
    <row r="78" spans="1:43" s="157" customFormat="1" ht="105" customHeight="1">
      <c r="A78" s="179">
        <v>66</v>
      </c>
      <c r="B78" s="182" t="s">
        <v>255</v>
      </c>
      <c r="C78" s="365" t="s">
        <v>235</v>
      </c>
      <c r="D78" s="365"/>
      <c r="E78" s="181" t="s">
        <v>165</v>
      </c>
      <c r="F78" s="180">
        <v>1</v>
      </c>
      <c r="G78" s="183">
        <v>1</v>
      </c>
      <c r="H78" s="214">
        <v>6218.06</v>
      </c>
      <c r="I78" s="185">
        <f t="shared" si="44"/>
        <v>6218.06</v>
      </c>
      <c r="J78" s="183">
        <v>1</v>
      </c>
      <c r="K78" s="202">
        <v>4264.54</v>
      </c>
      <c r="L78" s="185">
        <f>J78*K78</f>
        <v>4264.54</v>
      </c>
      <c r="M78" s="199">
        <v>1</v>
      </c>
      <c r="N78" s="200">
        <v>3551.45</v>
      </c>
      <c r="O78" s="201">
        <f t="shared" si="37"/>
        <v>3551.45</v>
      </c>
      <c r="P78" s="183">
        <v>1</v>
      </c>
      <c r="Q78" s="184">
        <v>4723</v>
      </c>
      <c r="R78" s="185">
        <f t="shared" si="38"/>
        <v>4723</v>
      </c>
      <c r="S78" s="186">
        <v>1</v>
      </c>
      <c r="T78" s="187">
        <v>3874</v>
      </c>
      <c r="U78" s="188">
        <f t="shared" si="39"/>
        <v>3874</v>
      </c>
      <c r="V78" s="189">
        <v>1</v>
      </c>
      <c r="W78" s="189">
        <v>5012.1000000000004</v>
      </c>
      <c r="X78" s="189">
        <f t="shared" si="40"/>
        <v>5012.1000000000004</v>
      </c>
      <c r="Y78" s="186">
        <v>1</v>
      </c>
      <c r="Z78" s="187">
        <v>2782.89</v>
      </c>
      <c r="AA78" s="188">
        <f t="shared" si="41"/>
        <v>2782.89</v>
      </c>
      <c r="AB78" s="183">
        <v>1</v>
      </c>
      <c r="AC78" s="184">
        <v>5129.7</v>
      </c>
      <c r="AD78" s="185">
        <f t="shared" si="42"/>
        <v>5129.7</v>
      </c>
      <c r="AE78" s="190"/>
      <c r="AF78" s="191"/>
      <c r="AG78" s="191"/>
      <c r="AH78" s="191"/>
      <c r="AI78" s="191">
        <f t="shared" si="46"/>
        <v>0</v>
      </c>
      <c r="AJ78" s="193"/>
      <c r="AK78" s="193"/>
      <c r="AL78" s="193"/>
      <c r="AM78" s="193"/>
      <c r="AN78" s="194"/>
      <c r="AO78" s="195"/>
      <c r="AP78" s="196">
        <f t="shared" si="34"/>
        <v>2782.89</v>
      </c>
      <c r="AQ78" s="196">
        <f t="shared" si="35"/>
        <v>2782.89</v>
      </c>
    </row>
    <row r="79" spans="1:43" s="157" customFormat="1" ht="105" customHeight="1">
      <c r="A79" s="179">
        <v>67</v>
      </c>
      <c r="B79" s="182" t="s">
        <v>256</v>
      </c>
      <c r="C79" s="365" t="s">
        <v>251</v>
      </c>
      <c r="D79" s="365"/>
      <c r="E79" s="181" t="s">
        <v>165</v>
      </c>
      <c r="F79" s="180">
        <v>2</v>
      </c>
      <c r="G79" s="183">
        <v>2</v>
      </c>
      <c r="H79" s="214">
        <v>8961.5300000000007</v>
      </c>
      <c r="I79" s="185">
        <f t="shared" si="44"/>
        <v>17923.060000000001</v>
      </c>
      <c r="J79" s="358" t="s">
        <v>185</v>
      </c>
      <c r="K79" s="358"/>
      <c r="L79" s="358"/>
      <c r="M79" s="199">
        <v>2</v>
      </c>
      <c r="N79" s="200">
        <v>8591.9</v>
      </c>
      <c r="O79" s="201">
        <f t="shared" si="37"/>
        <v>17183.8</v>
      </c>
      <c r="P79" s="183">
        <v>2</v>
      </c>
      <c r="Q79" s="184">
        <v>7940</v>
      </c>
      <c r="R79" s="185">
        <f t="shared" si="38"/>
        <v>15880</v>
      </c>
      <c r="S79" s="186">
        <v>2</v>
      </c>
      <c r="T79" s="187">
        <v>8935</v>
      </c>
      <c r="U79" s="188">
        <f t="shared" si="39"/>
        <v>17870</v>
      </c>
      <c r="V79" s="189">
        <v>2</v>
      </c>
      <c r="W79" s="189">
        <v>12354.99</v>
      </c>
      <c r="X79" s="189">
        <f t="shared" si="40"/>
        <v>24709.98</v>
      </c>
      <c r="Y79" s="186">
        <v>2</v>
      </c>
      <c r="Z79" s="187">
        <v>10778.06</v>
      </c>
      <c r="AA79" s="188">
        <f t="shared" si="41"/>
        <v>21556.12</v>
      </c>
      <c r="AB79" s="183">
        <v>2</v>
      </c>
      <c r="AC79" s="184">
        <v>12839.64</v>
      </c>
      <c r="AD79" s="185">
        <f t="shared" si="42"/>
        <v>25679.279999999999</v>
      </c>
      <c r="AE79" s="190"/>
      <c r="AF79" s="191"/>
      <c r="AG79" s="191"/>
      <c r="AH79" s="191"/>
      <c r="AI79" s="191">
        <f t="shared" si="46"/>
        <v>0</v>
      </c>
      <c r="AJ79" s="193"/>
      <c r="AK79" s="193"/>
      <c r="AL79" s="193"/>
      <c r="AM79" s="193"/>
      <c r="AN79" s="194"/>
      <c r="AO79" s="195"/>
      <c r="AP79" s="196">
        <f t="shared" si="34"/>
        <v>7940</v>
      </c>
      <c r="AQ79" s="196">
        <f t="shared" si="35"/>
        <v>15880</v>
      </c>
    </row>
    <row r="80" spans="1:43" s="157" customFormat="1" ht="105" customHeight="1">
      <c r="A80" s="179">
        <v>68</v>
      </c>
      <c r="B80" s="182" t="s">
        <v>257</v>
      </c>
      <c r="C80" s="365" t="s">
        <v>258</v>
      </c>
      <c r="D80" s="365"/>
      <c r="E80" s="181" t="s">
        <v>165</v>
      </c>
      <c r="F80" s="180">
        <v>41</v>
      </c>
      <c r="G80" s="183">
        <v>41</v>
      </c>
      <c r="H80" s="214">
        <v>4010.77</v>
      </c>
      <c r="I80" s="185">
        <f t="shared" si="44"/>
        <v>164441.57</v>
      </c>
      <c r="J80" s="183">
        <v>41</v>
      </c>
      <c r="K80" s="202">
        <v>3477.72</v>
      </c>
      <c r="L80" s="185">
        <f>J80*K80</f>
        <v>142586.51999999999</v>
      </c>
      <c r="M80" s="199">
        <v>41</v>
      </c>
      <c r="N80" s="200">
        <v>2919</v>
      </c>
      <c r="O80" s="201">
        <f t="shared" si="37"/>
        <v>119679</v>
      </c>
      <c r="P80" s="183">
        <v>41</v>
      </c>
      <c r="Q80" s="184">
        <v>4154</v>
      </c>
      <c r="R80" s="185">
        <f t="shared" si="38"/>
        <v>170314</v>
      </c>
      <c r="S80" s="186">
        <v>41</v>
      </c>
      <c r="T80" s="187">
        <v>2786</v>
      </c>
      <c r="U80" s="188">
        <f t="shared" si="39"/>
        <v>114226</v>
      </c>
      <c r="V80" s="189">
        <v>41</v>
      </c>
      <c r="W80" s="189">
        <v>4114.5</v>
      </c>
      <c r="X80" s="189">
        <f t="shared" si="40"/>
        <v>168694.5</v>
      </c>
      <c r="Y80" s="186">
        <v>41</v>
      </c>
      <c r="Z80" s="187">
        <v>2034.29</v>
      </c>
      <c r="AA80" s="188">
        <f t="shared" si="41"/>
        <v>83405.89</v>
      </c>
      <c r="AB80" s="183">
        <v>41</v>
      </c>
      <c r="AC80" s="184">
        <v>4198.5</v>
      </c>
      <c r="AD80" s="185">
        <f t="shared" si="42"/>
        <v>172138.5</v>
      </c>
      <c r="AE80" s="190"/>
      <c r="AF80" s="191"/>
      <c r="AG80" s="191"/>
      <c r="AH80" s="191"/>
      <c r="AI80" s="191">
        <f t="shared" si="46"/>
        <v>0</v>
      </c>
      <c r="AJ80" s="193"/>
      <c r="AK80" s="193"/>
      <c r="AL80" s="193"/>
      <c r="AM80" s="193"/>
      <c r="AN80" s="194"/>
      <c r="AO80" s="195"/>
      <c r="AP80" s="196">
        <f t="shared" si="34"/>
        <v>2034.29</v>
      </c>
      <c r="AQ80" s="196">
        <f t="shared" si="35"/>
        <v>83405.89</v>
      </c>
    </row>
    <row r="81" spans="1:43" s="157" customFormat="1" ht="105" customHeight="1">
      <c r="A81" s="179">
        <v>69</v>
      </c>
      <c r="B81" s="182" t="s">
        <v>259</v>
      </c>
      <c r="C81" s="365" t="s">
        <v>260</v>
      </c>
      <c r="D81" s="365"/>
      <c r="E81" s="181" t="s">
        <v>165</v>
      </c>
      <c r="F81" s="180">
        <v>11</v>
      </c>
      <c r="G81" s="183">
        <v>11</v>
      </c>
      <c r="H81" s="214">
        <v>2199.33</v>
      </c>
      <c r="I81" s="185">
        <f t="shared" si="44"/>
        <v>24192.629999999997</v>
      </c>
      <c r="J81" s="358" t="s">
        <v>185</v>
      </c>
      <c r="K81" s="358"/>
      <c r="L81" s="358"/>
      <c r="M81" s="199">
        <v>11</v>
      </c>
      <c r="N81" s="200">
        <v>2121.14</v>
      </c>
      <c r="O81" s="201">
        <f t="shared" si="37"/>
        <v>23332.539999999997</v>
      </c>
      <c r="P81" s="183">
        <v>11</v>
      </c>
      <c r="Q81" s="184">
        <v>2719</v>
      </c>
      <c r="R81" s="185">
        <f t="shared" si="38"/>
        <v>29909</v>
      </c>
      <c r="S81" s="186">
        <v>11</v>
      </c>
      <c r="T81" s="187">
        <v>1869</v>
      </c>
      <c r="U81" s="188">
        <f t="shared" si="39"/>
        <v>20559</v>
      </c>
      <c r="V81" s="189">
        <v>11</v>
      </c>
      <c r="W81" s="189">
        <v>2991.09</v>
      </c>
      <c r="X81" s="189">
        <f t="shared" si="40"/>
        <v>32901.990000000005</v>
      </c>
      <c r="Y81" s="186">
        <v>11</v>
      </c>
      <c r="Z81" s="187">
        <v>1670.67</v>
      </c>
      <c r="AA81" s="188">
        <f t="shared" si="41"/>
        <v>18377.370000000003</v>
      </c>
      <c r="AB81" s="183">
        <v>11</v>
      </c>
      <c r="AC81" s="184">
        <v>2703.96</v>
      </c>
      <c r="AD81" s="185">
        <f t="shared" si="42"/>
        <v>29743.56</v>
      </c>
      <c r="AE81" s="190"/>
      <c r="AF81" s="191"/>
      <c r="AG81" s="191"/>
      <c r="AH81" s="191"/>
      <c r="AI81" s="191">
        <f t="shared" si="46"/>
        <v>0</v>
      </c>
      <c r="AJ81" s="193"/>
      <c r="AK81" s="193"/>
      <c r="AL81" s="193"/>
      <c r="AM81" s="193"/>
      <c r="AN81" s="194"/>
      <c r="AO81" s="195"/>
      <c r="AP81" s="196">
        <f t="shared" si="34"/>
        <v>1670.67</v>
      </c>
      <c r="AQ81" s="196">
        <f t="shared" si="35"/>
        <v>18377.370000000003</v>
      </c>
    </row>
    <row r="82" spans="1:43" s="157" customFormat="1" ht="105" customHeight="1">
      <c r="A82" s="179">
        <v>70</v>
      </c>
      <c r="B82" s="182" t="s">
        <v>261</v>
      </c>
      <c r="C82" s="365" t="s">
        <v>262</v>
      </c>
      <c r="D82" s="365"/>
      <c r="E82" s="181" t="s">
        <v>165</v>
      </c>
      <c r="F82" s="180">
        <v>9</v>
      </c>
      <c r="G82" s="183">
        <v>9</v>
      </c>
      <c r="H82" s="214">
        <v>1516.27</v>
      </c>
      <c r="I82" s="185">
        <f t="shared" si="44"/>
        <v>13646.43</v>
      </c>
      <c r="J82" s="183">
        <v>9</v>
      </c>
      <c r="K82" s="202">
        <v>2107.56</v>
      </c>
      <c r="L82" s="185">
        <f>J82*K82</f>
        <v>18968.04</v>
      </c>
      <c r="M82" s="199">
        <v>9</v>
      </c>
      <c r="N82" s="200">
        <v>1916.81</v>
      </c>
      <c r="O82" s="201">
        <f t="shared" si="37"/>
        <v>17251.29</v>
      </c>
      <c r="P82" s="183">
        <v>9</v>
      </c>
      <c r="Q82" s="184">
        <v>2370</v>
      </c>
      <c r="R82" s="185">
        <f t="shared" si="38"/>
        <v>21330</v>
      </c>
      <c r="S82" s="186">
        <v>9</v>
      </c>
      <c r="T82" s="187">
        <v>1753</v>
      </c>
      <c r="U82" s="188">
        <f t="shared" si="39"/>
        <v>15777</v>
      </c>
      <c r="V82" s="189">
        <v>9</v>
      </c>
      <c r="W82" s="189">
        <v>2707.69</v>
      </c>
      <c r="X82" s="189">
        <f t="shared" si="40"/>
        <v>24369.21</v>
      </c>
      <c r="Y82" s="186">
        <v>9</v>
      </c>
      <c r="Z82" s="187">
        <v>989.58</v>
      </c>
      <c r="AA82" s="188">
        <f t="shared" si="41"/>
        <v>8906.2200000000012</v>
      </c>
      <c r="AB82" s="183">
        <v>9</v>
      </c>
      <c r="AC82" s="209">
        <v>2098.08</v>
      </c>
      <c r="AD82" s="185">
        <f t="shared" si="42"/>
        <v>18882.72</v>
      </c>
      <c r="AE82" s="190"/>
      <c r="AF82" s="191"/>
      <c r="AG82" s="191"/>
      <c r="AH82" s="191"/>
      <c r="AI82" s="191">
        <f t="shared" si="46"/>
        <v>0</v>
      </c>
      <c r="AJ82" s="193"/>
      <c r="AK82" s="193"/>
      <c r="AL82" s="193"/>
      <c r="AM82" s="193"/>
      <c r="AN82" s="194"/>
      <c r="AO82" s="195"/>
      <c r="AP82" s="196">
        <f t="shared" si="34"/>
        <v>989.58</v>
      </c>
      <c r="AQ82" s="196">
        <f t="shared" si="35"/>
        <v>8906.2200000000012</v>
      </c>
    </row>
    <row r="83" spans="1:43" s="157" customFormat="1" ht="105" customHeight="1">
      <c r="A83" s="179">
        <v>71</v>
      </c>
      <c r="B83" s="182" t="s">
        <v>263</v>
      </c>
      <c r="C83" s="365" t="s">
        <v>237</v>
      </c>
      <c r="D83" s="365"/>
      <c r="E83" s="181" t="s">
        <v>165</v>
      </c>
      <c r="F83" s="180">
        <v>1</v>
      </c>
      <c r="G83" s="183">
        <v>1</v>
      </c>
      <c r="H83" s="214">
        <v>6673.9</v>
      </c>
      <c r="I83" s="185">
        <f t="shared" si="44"/>
        <v>6673.9</v>
      </c>
      <c r="J83" s="183">
        <v>1</v>
      </c>
      <c r="K83" s="202">
        <v>4394.8999999999996</v>
      </c>
      <c r="L83" s="185">
        <f>J83*K83</f>
        <v>4394.8999999999996</v>
      </c>
      <c r="M83" s="199">
        <v>1</v>
      </c>
      <c r="N83" s="200">
        <v>3454.15</v>
      </c>
      <c r="O83" s="201">
        <f t="shared" si="37"/>
        <v>3454.15</v>
      </c>
      <c r="P83" s="183">
        <v>1</v>
      </c>
      <c r="Q83" s="184">
        <v>4597</v>
      </c>
      <c r="R83" s="185">
        <f t="shared" si="38"/>
        <v>4597</v>
      </c>
      <c r="S83" s="186">
        <v>1</v>
      </c>
      <c r="T83" s="187">
        <v>4801</v>
      </c>
      <c r="U83" s="188">
        <f t="shared" si="39"/>
        <v>4801</v>
      </c>
      <c r="V83" s="189">
        <v>1</v>
      </c>
      <c r="W83" s="189">
        <v>4878.3</v>
      </c>
      <c r="X83" s="189">
        <f t="shared" si="40"/>
        <v>4878.3</v>
      </c>
      <c r="Y83" s="186">
        <v>1</v>
      </c>
      <c r="Z83" s="187">
        <v>4009.85</v>
      </c>
      <c r="AA83" s="188">
        <f t="shared" si="41"/>
        <v>4009.85</v>
      </c>
      <c r="AB83" s="183">
        <v>1</v>
      </c>
      <c r="AC83" s="184">
        <v>6573.45</v>
      </c>
      <c r="AD83" s="185">
        <f t="shared" si="42"/>
        <v>6573.45</v>
      </c>
      <c r="AE83" s="190"/>
      <c r="AF83" s="191"/>
      <c r="AG83" s="191"/>
      <c r="AH83" s="191"/>
      <c r="AI83" s="191">
        <f t="shared" si="46"/>
        <v>0</v>
      </c>
      <c r="AJ83" s="193"/>
      <c r="AK83" s="193"/>
      <c r="AL83" s="193"/>
      <c r="AM83" s="193"/>
      <c r="AN83" s="194"/>
      <c r="AO83" s="195"/>
      <c r="AP83" s="196">
        <f t="shared" si="34"/>
        <v>3454.15</v>
      </c>
      <c r="AQ83" s="196">
        <f t="shared" si="35"/>
        <v>3454.15</v>
      </c>
    </row>
    <row r="84" spans="1:43" s="157" customFormat="1" ht="105" customHeight="1">
      <c r="A84" s="179">
        <v>72</v>
      </c>
      <c r="B84" s="182" t="s">
        <v>264</v>
      </c>
      <c r="C84" s="365" t="s">
        <v>251</v>
      </c>
      <c r="D84" s="365"/>
      <c r="E84" s="181" t="s">
        <v>165</v>
      </c>
      <c r="F84" s="180">
        <v>2</v>
      </c>
      <c r="G84" s="183">
        <v>2</v>
      </c>
      <c r="H84" s="214">
        <v>8095.47</v>
      </c>
      <c r="I84" s="185">
        <f t="shared" si="44"/>
        <v>16190.94</v>
      </c>
      <c r="J84" s="358" t="s">
        <v>185</v>
      </c>
      <c r="K84" s="358"/>
      <c r="L84" s="358"/>
      <c r="M84" s="199">
        <v>2</v>
      </c>
      <c r="N84" s="200">
        <v>7180.78</v>
      </c>
      <c r="O84" s="201">
        <f t="shared" si="37"/>
        <v>14361.56</v>
      </c>
      <c r="P84" s="183">
        <v>2</v>
      </c>
      <c r="Q84" s="184">
        <v>6638</v>
      </c>
      <c r="R84" s="185">
        <f t="shared" si="38"/>
        <v>13276</v>
      </c>
      <c r="S84" s="186">
        <v>2</v>
      </c>
      <c r="T84" s="187">
        <v>8338</v>
      </c>
      <c r="U84" s="188">
        <f t="shared" si="39"/>
        <v>16676</v>
      </c>
      <c r="V84" s="189">
        <v>2</v>
      </c>
      <c r="W84" s="189">
        <v>10329.129999999999</v>
      </c>
      <c r="X84" s="189">
        <f t="shared" si="40"/>
        <v>20658.259999999998</v>
      </c>
      <c r="Y84" s="186">
        <v>2</v>
      </c>
      <c r="Z84" s="187">
        <v>9010.7800000000007</v>
      </c>
      <c r="AA84" s="188">
        <f t="shared" si="41"/>
        <v>18021.560000000001</v>
      </c>
      <c r="AB84" s="183">
        <v>2</v>
      </c>
      <c r="AC84" s="184">
        <v>10734.31</v>
      </c>
      <c r="AD84" s="185">
        <f t="shared" si="42"/>
        <v>21468.62</v>
      </c>
      <c r="AE84" s="190"/>
      <c r="AF84" s="191"/>
      <c r="AG84" s="191"/>
      <c r="AH84" s="191"/>
      <c r="AI84" s="191">
        <f t="shared" si="46"/>
        <v>0</v>
      </c>
      <c r="AJ84" s="193"/>
      <c r="AK84" s="193"/>
      <c r="AL84" s="193"/>
      <c r="AM84" s="193"/>
      <c r="AN84" s="194"/>
      <c r="AO84" s="195"/>
      <c r="AP84" s="196">
        <f t="shared" ref="AP84:AP100" si="47">MIN(H84,K84,N84,Q84,T84,W84,Z84,AC84)</f>
        <v>6638</v>
      </c>
      <c r="AQ84" s="196">
        <f t="shared" si="35"/>
        <v>13276</v>
      </c>
    </row>
    <row r="85" spans="1:43" s="157" customFormat="1" ht="105" customHeight="1">
      <c r="A85" s="179">
        <v>73</v>
      </c>
      <c r="B85" s="182" t="s">
        <v>265</v>
      </c>
      <c r="C85" s="365" t="s">
        <v>228</v>
      </c>
      <c r="D85" s="365"/>
      <c r="E85" s="181" t="s">
        <v>165</v>
      </c>
      <c r="F85" s="180">
        <v>1</v>
      </c>
      <c r="G85" s="183">
        <v>1</v>
      </c>
      <c r="H85" s="214">
        <v>4869.82</v>
      </c>
      <c r="I85" s="185">
        <f t="shared" si="44"/>
        <v>4869.82</v>
      </c>
      <c r="J85" s="358" t="s">
        <v>185</v>
      </c>
      <c r="K85" s="358"/>
      <c r="L85" s="358"/>
      <c r="M85" s="199">
        <v>1</v>
      </c>
      <c r="N85" s="200">
        <v>3687.12</v>
      </c>
      <c r="O85" s="201">
        <f t="shared" si="37"/>
        <v>3687.12</v>
      </c>
      <c r="P85" s="183">
        <v>1</v>
      </c>
      <c r="Q85" s="184">
        <v>6891</v>
      </c>
      <c r="R85" s="185">
        <f t="shared" si="38"/>
        <v>6891</v>
      </c>
      <c r="S85" s="186">
        <v>1</v>
      </c>
      <c r="T85" s="187">
        <v>5007</v>
      </c>
      <c r="U85" s="188">
        <f t="shared" si="39"/>
        <v>5007</v>
      </c>
      <c r="V85" s="189">
        <v>1</v>
      </c>
      <c r="W85" s="189">
        <v>5286.6</v>
      </c>
      <c r="X85" s="189">
        <f t="shared" si="40"/>
        <v>5286.6</v>
      </c>
      <c r="Y85" s="186">
        <v>1</v>
      </c>
      <c r="Z85" s="187">
        <v>4611.8500000000004</v>
      </c>
      <c r="AA85" s="188">
        <f t="shared" si="41"/>
        <v>4611.8500000000004</v>
      </c>
      <c r="AB85" s="183">
        <v>1</v>
      </c>
      <c r="AC85" s="184">
        <v>5493.98</v>
      </c>
      <c r="AD85" s="185">
        <f t="shared" si="42"/>
        <v>5493.98</v>
      </c>
      <c r="AE85" s="190"/>
      <c r="AF85" s="191"/>
      <c r="AG85" s="191"/>
      <c r="AH85" s="191"/>
      <c r="AI85" s="191">
        <f t="shared" si="46"/>
        <v>0</v>
      </c>
      <c r="AJ85" s="193"/>
      <c r="AK85" s="193"/>
      <c r="AL85" s="193"/>
      <c r="AM85" s="193"/>
      <c r="AN85" s="194"/>
      <c r="AO85" s="195"/>
      <c r="AP85" s="196">
        <f t="shared" si="47"/>
        <v>3687.12</v>
      </c>
      <c r="AQ85" s="196">
        <f t="shared" si="35"/>
        <v>3687.12</v>
      </c>
    </row>
    <row r="86" spans="1:43" s="157" customFormat="1" ht="105" customHeight="1">
      <c r="A86" s="179">
        <v>74</v>
      </c>
      <c r="B86" s="182" t="s">
        <v>266</v>
      </c>
      <c r="C86" s="365" t="s">
        <v>228</v>
      </c>
      <c r="D86" s="365"/>
      <c r="E86" s="181" t="s">
        <v>165</v>
      </c>
      <c r="F86" s="180">
        <v>1</v>
      </c>
      <c r="G86" s="183">
        <v>1</v>
      </c>
      <c r="H86" s="214">
        <v>4809.3500000000004</v>
      </c>
      <c r="I86" s="185">
        <f t="shared" si="44"/>
        <v>4809.3500000000004</v>
      </c>
      <c r="J86" s="358" t="s">
        <v>185</v>
      </c>
      <c r="K86" s="358"/>
      <c r="L86" s="358"/>
      <c r="M86" s="199">
        <v>1</v>
      </c>
      <c r="N86" s="200">
        <v>3618.84</v>
      </c>
      <c r="O86" s="201">
        <f t="shared" si="37"/>
        <v>3618.84</v>
      </c>
      <c r="P86" s="183">
        <v>1</v>
      </c>
      <c r="Q86" s="184">
        <v>3343</v>
      </c>
      <c r="R86" s="185">
        <f t="shared" si="38"/>
        <v>3343</v>
      </c>
      <c r="S86" s="186">
        <v>1</v>
      </c>
      <c r="T86" s="187">
        <v>4955</v>
      </c>
      <c r="U86" s="188">
        <f t="shared" si="39"/>
        <v>4955</v>
      </c>
      <c r="V86" s="189">
        <v>1</v>
      </c>
      <c r="W86" s="189">
        <v>5201.51</v>
      </c>
      <c r="X86" s="189">
        <f t="shared" si="40"/>
        <v>5201.51</v>
      </c>
      <c r="Y86" s="186">
        <v>1</v>
      </c>
      <c r="Z86" s="187">
        <v>4537.62</v>
      </c>
      <c r="AA86" s="188">
        <f t="shared" si="41"/>
        <v>4537.62</v>
      </c>
      <c r="AB86" s="183">
        <v>1</v>
      </c>
      <c r="AC86" s="184">
        <v>5405.55</v>
      </c>
      <c r="AD86" s="185">
        <f t="shared" si="42"/>
        <v>5405.55</v>
      </c>
      <c r="AE86" s="190"/>
      <c r="AF86" s="191"/>
      <c r="AG86" s="191"/>
      <c r="AH86" s="191"/>
      <c r="AI86" s="191">
        <f t="shared" si="46"/>
        <v>0</v>
      </c>
      <c r="AJ86" s="193"/>
      <c r="AK86" s="193"/>
      <c r="AL86" s="193"/>
      <c r="AM86" s="193"/>
      <c r="AN86" s="194"/>
      <c r="AO86" s="195"/>
      <c r="AP86" s="196">
        <f t="shared" si="47"/>
        <v>3343</v>
      </c>
      <c r="AQ86" s="196">
        <f t="shared" si="35"/>
        <v>3343</v>
      </c>
    </row>
    <row r="87" spans="1:43" s="157" customFormat="1" ht="105" customHeight="1">
      <c r="A87" s="179">
        <v>75</v>
      </c>
      <c r="B87" s="182" t="s">
        <v>267</v>
      </c>
      <c r="C87" s="365" t="s">
        <v>228</v>
      </c>
      <c r="D87" s="365"/>
      <c r="E87" s="181" t="s">
        <v>165</v>
      </c>
      <c r="F87" s="180">
        <v>1</v>
      </c>
      <c r="G87" s="183">
        <v>1</v>
      </c>
      <c r="H87" s="214">
        <v>4735.97</v>
      </c>
      <c r="I87" s="185">
        <f t="shared" si="44"/>
        <v>4735.97</v>
      </c>
      <c r="J87" s="358" t="s">
        <v>185</v>
      </c>
      <c r="K87" s="358"/>
      <c r="L87" s="358"/>
      <c r="M87" s="199">
        <v>1</v>
      </c>
      <c r="N87" s="200">
        <v>3527.8</v>
      </c>
      <c r="O87" s="201">
        <f t="shared" si="37"/>
        <v>3527.8</v>
      </c>
      <c r="P87" s="183">
        <v>1</v>
      </c>
      <c r="Q87" s="184">
        <v>3275</v>
      </c>
      <c r="R87" s="185">
        <f t="shared" si="38"/>
        <v>3275</v>
      </c>
      <c r="S87" s="186">
        <v>1</v>
      </c>
      <c r="T87" s="187">
        <v>4888</v>
      </c>
      <c r="U87" s="188">
        <f t="shared" si="39"/>
        <v>4888</v>
      </c>
      <c r="V87" s="189">
        <v>1</v>
      </c>
      <c r="W87" s="189">
        <v>5094.6899999999996</v>
      </c>
      <c r="X87" s="189">
        <f t="shared" si="40"/>
        <v>5094.6899999999996</v>
      </c>
      <c r="Y87" s="186">
        <v>1</v>
      </c>
      <c r="Z87" s="187">
        <v>4444.43</v>
      </c>
      <c r="AA87" s="188">
        <f t="shared" si="41"/>
        <v>4444.43</v>
      </c>
      <c r="AB87" s="183">
        <v>1</v>
      </c>
      <c r="AC87" s="184">
        <v>5294.54</v>
      </c>
      <c r="AD87" s="185">
        <f t="shared" si="42"/>
        <v>5294.54</v>
      </c>
      <c r="AE87" s="190"/>
      <c r="AF87" s="191"/>
      <c r="AG87" s="191"/>
      <c r="AH87" s="191"/>
      <c r="AI87" s="191">
        <f t="shared" si="46"/>
        <v>0</v>
      </c>
      <c r="AJ87" s="193"/>
      <c r="AK87" s="193"/>
      <c r="AL87" s="193"/>
      <c r="AM87" s="193"/>
      <c r="AN87" s="194"/>
      <c r="AO87" s="195"/>
      <c r="AP87" s="196">
        <f t="shared" si="47"/>
        <v>3275</v>
      </c>
      <c r="AQ87" s="196">
        <f t="shared" si="35"/>
        <v>3275</v>
      </c>
    </row>
    <row r="88" spans="1:43" s="157" customFormat="1" ht="105" customHeight="1">
      <c r="A88" s="179">
        <v>76</v>
      </c>
      <c r="B88" s="182" t="s">
        <v>268</v>
      </c>
      <c r="C88" s="365" t="s">
        <v>228</v>
      </c>
      <c r="D88" s="365"/>
      <c r="E88" s="181" t="s">
        <v>165</v>
      </c>
      <c r="F88" s="180">
        <v>1</v>
      </c>
      <c r="G88" s="183">
        <v>1</v>
      </c>
      <c r="H88" s="214">
        <v>4676.8500000000004</v>
      </c>
      <c r="I88" s="185">
        <f t="shared" si="44"/>
        <v>4676.8500000000004</v>
      </c>
      <c r="J88" s="358" t="s">
        <v>185</v>
      </c>
      <c r="K88" s="358"/>
      <c r="L88" s="358"/>
      <c r="M88" s="199">
        <v>1</v>
      </c>
      <c r="N88" s="200">
        <v>3482.28</v>
      </c>
      <c r="O88" s="201">
        <f t="shared" si="37"/>
        <v>3482.28</v>
      </c>
      <c r="P88" s="199">
        <v>1</v>
      </c>
      <c r="Q88" s="200">
        <v>3221</v>
      </c>
      <c r="R88" s="185">
        <f t="shared" si="38"/>
        <v>3221</v>
      </c>
      <c r="S88" s="186">
        <v>1</v>
      </c>
      <c r="T88" s="187">
        <v>4837</v>
      </c>
      <c r="U88" s="188">
        <f t="shared" si="39"/>
        <v>4837</v>
      </c>
      <c r="V88" s="189">
        <v>1</v>
      </c>
      <c r="W88" s="189">
        <v>5011.41</v>
      </c>
      <c r="X88" s="189">
        <f t="shared" si="40"/>
        <v>5011.41</v>
      </c>
      <c r="Y88" s="186">
        <v>1</v>
      </c>
      <c r="Z88" s="187">
        <v>4371.78</v>
      </c>
      <c r="AA88" s="188">
        <f t="shared" si="41"/>
        <v>4371.78</v>
      </c>
      <c r="AB88" s="183">
        <v>1</v>
      </c>
      <c r="AC88" s="184">
        <v>5207.99</v>
      </c>
      <c r="AD88" s="185">
        <f t="shared" si="42"/>
        <v>5207.99</v>
      </c>
      <c r="AE88" s="190"/>
      <c r="AF88" s="191"/>
      <c r="AG88" s="191"/>
      <c r="AH88" s="191"/>
      <c r="AI88" s="191">
        <f t="shared" si="46"/>
        <v>0</v>
      </c>
      <c r="AJ88" s="193"/>
      <c r="AK88" s="193"/>
      <c r="AL88" s="193"/>
      <c r="AM88" s="193"/>
      <c r="AN88" s="194"/>
      <c r="AO88" s="195"/>
      <c r="AP88" s="196">
        <f t="shared" si="47"/>
        <v>3221</v>
      </c>
      <c r="AQ88" s="196">
        <f t="shared" si="35"/>
        <v>3221</v>
      </c>
    </row>
    <row r="89" spans="1:43" s="157" customFormat="1" ht="105" customHeight="1">
      <c r="A89" s="179">
        <v>77</v>
      </c>
      <c r="B89" s="182" t="s">
        <v>269</v>
      </c>
      <c r="C89" s="366" t="s">
        <v>270</v>
      </c>
      <c r="D89" s="366"/>
      <c r="E89" s="181" t="s">
        <v>165</v>
      </c>
      <c r="F89" s="219">
        <v>4</v>
      </c>
      <c r="G89" s="183">
        <v>12</v>
      </c>
      <c r="H89" s="214">
        <v>14363.7</v>
      </c>
      <c r="I89" s="185">
        <f t="shared" si="44"/>
        <v>172364.40000000002</v>
      </c>
      <c r="J89" s="216">
        <v>12</v>
      </c>
      <c r="K89" s="217">
        <v>7102.52</v>
      </c>
      <c r="L89" s="218">
        <f>J89*K89</f>
        <v>85230.24</v>
      </c>
      <c r="M89" s="199">
        <v>12</v>
      </c>
      <c r="N89" s="200">
        <v>7768.32</v>
      </c>
      <c r="O89" s="201">
        <f t="shared" si="37"/>
        <v>93219.839999999997</v>
      </c>
      <c r="P89" s="216">
        <v>12</v>
      </c>
      <c r="Q89" s="217">
        <v>15390</v>
      </c>
      <c r="R89" s="218">
        <f t="shared" si="38"/>
        <v>184680</v>
      </c>
      <c r="S89" s="186">
        <v>12</v>
      </c>
      <c r="T89" s="187">
        <v>9848</v>
      </c>
      <c r="U89" s="188">
        <f t="shared" si="39"/>
        <v>118176</v>
      </c>
      <c r="V89" s="189">
        <v>12</v>
      </c>
      <c r="W89" s="189">
        <v>12601.91</v>
      </c>
      <c r="X89" s="189">
        <f t="shared" si="40"/>
        <v>151222.91999999998</v>
      </c>
      <c r="Y89" s="186">
        <v>12</v>
      </c>
      <c r="Z89" s="187">
        <v>13331.77</v>
      </c>
      <c r="AA89" s="188">
        <f t="shared" si="41"/>
        <v>159981.24</v>
      </c>
      <c r="AB89" s="183">
        <v>12</v>
      </c>
      <c r="AC89" s="184">
        <v>17669.03</v>
      </c>
      <c r="AD89" s="185">
        <f t="shared" si="42"/>
        <v>212028.36</v>
      </c>
      <c r="AE89" s="190"/>
      <c r="AF89" s="191"/>
      <c r="AG89" s="191"/>
      <c r="AH89" s="191"/>
      <c r="AI89" s="191">
        <f t="shared" si="46"/>
        <v>0</v>
      </c>
      <c r="AJ89" s="193"/>
      <c r="AK89" s="193"/>
      <c r="AL89" s="193"/>
      <c r="AM89" s="193"/>
      <c r="AN89" s="194"/>
      <c r="AO89" s="195"/>
      <c r="AP89" s="196">
        <f t="shared" si="47"/>
        <v>7102.52</v>
      </c>
      <c r="AQ89" s="196">
        <f t="shared" si="35"/>
        <v>28410.080000000002</v>
      </c>
    </row>
    <row r="90" spans="1:43" s="157" customFormat="1" ht="105" customHeight="1">
      <c r="A90" s="179">
        <v>78</v>
      </c>
      <c r="B90" s="182" t="s">
        <v>271</v>
      </c>
      <c r="C90" s="366" t="s">
        <v>270</v>
      </c>
      <c r="D90" s="366"/>
      <c r="E90" s="181" t="s">
        <v>165</v>
      </c>
      <c r="F90" s="182">
        <v>4</v>
      </c>
      <c r="G90" s="183">
        <v>12</v>
      </c>
      <c r="H90" s="214">
        <v>14466.91</v>
      </c>
      <c r="I90" s="185">
        <f t="shared" si="44"/>
        <v>173602.91999999998</v>
      </c>
      <c r="J90" s="216">
        <v>12</v>
      </c>
      <c r="K90" s="217">
        <v>7145.14</v>
      </c>
      <c r="L90" s="218">
        <f>J90*K90</f>
        <v>85741.680000000008</v>
      </c>
      <c r="M90" s="199">
        <v>12</v>
      </c>
      <c r="N90" s="200">
        <v>7875.84</v>
      </c>
      <c r="O90" s="201">
        <f t="shared" si="37"/>
        <v>94510.080000000002</v>
      </c>
      <c r="P90" s="216">
        <v>12</v>
      </c>
      <c r="Q90" s="220">
        <v>15553</v>
      </c>
      <c r="R90" s="218">
        <f t="shared" si="38"/>
        <v>186636</v>
      </c>
      <c r="S90" s="186">
        <v>12</v>
      </c>
      <c r="T90" s="187">
        <v>9901</v>
      </c>
      <c r="U90" s="188">
        <f t="shared" si="39"/>
        <v>118812</v>
      </c>
      <c r="V90" s="189">
        <v>12</v>
      </c>
      <c r="W90" s="189">
        <v>12740.77</v>
      </c>
      <c r="X90" s="189">
        <f t="shared" si="40"/>
        <v>152889.24</v>
      </c>
      <c r="Y90" s="186">
        <v>12</v>
      </c>
      <c r="Z90" s="187">
        <v>13364.55</v>
      </c>
      <c r="AA90" s="188">
        <f t="shared" si="41"/>
        <v>160374.59999999998</v>
      </c>
      <c r="AB90" s="183">
        <v>12</v>
      </c>
      <c r="AC90" s="184">
        <v>17855.61</v>
      </c>
      <c r="AD90" s="185">
        <f t="shared" si="42"/>
        <v>214267.32</v>
      </c>
      <c r="AE90" s="190"/>
      <c r="AF90" s="191"/>
      <c r="AG90" s="191"/>
      <c r="AH90" s="191"/>
      <c r="AI90" s="191"/>
      <c r="AJ90" s="193"/>
      <c r="AK90" s="193"/>
      <c r="AL90" s="193"/>
      <c r="AM90" s="193"/>
      <c r="AN90" s="194"/>
      <c r="AO90" s="195"/>
      <c r="AP90" s="196">
        <f t="shared" si="47"/>
        <v>7145.14</v>
      </c>
      <c r="AQ90" s="196">
        <f t="shared" si="35"/>
        <v>28580.560000000001</v>
      </c>
    </row>
    <row r="91" spans="1:43" s="157" customFormat="1" ht="105" customHeight="1">
      <c r="A91" s="179">
        <v>79</v>
      </c>
      <c r="B91" s="182" t="s">
        <v>272</v>
      </c>
      <c r="C91" s="366" t="s">
        <v>273</v>
      </c>
      <c r="D91" s="366"/>
      <c r="E91" s="181" t="s">
        <v>165</v>
      </c>
      <c r="F91" s="182">
        <v>2</v>
      </c>
      <c r="G91" s="183">
        <v>6</v>
      </c>
      <c r="H91" s="214">
        <v>18289.61</v>
      </c>
      <c r="I91" s="185">
        <f t="shared" si="44"/>
        <v>109737.66</v>
      </c>
      <c r="J91" s="216">
        <v>6</v>
      </c>
      <c r="K91" s="217">
        <v>9291.74</v>
      </c>
      <c r="L91" s="218">
        <f>J91*K91</f>
        <v>55750.44</v>
      </c>
      <c r="M91" s="199">
        <v>6</v>
      </c>
      <c r="N91" s="200">
        <v>11088</v>
      </c>
      <c r="O91" s="201">
        <f t="shared" si="37"/>
        <v>66528</v>
      </c>
      <c r="P91" s="216">
        <v>6</v>
      </c>
      <c r="Q91" s="221">
        <v>21961</v>
      </c>
      <c r="R91" s="218">
        <f t="shared" si="38"/>
        <v>131766</v>
      </c>
      <c r="S91" s="186">
        <v>6</v>
      </c>
      <c r="T91" s="187">
        <v>13530</v>
      </c>
      <c r="U91" s="188">
        <f t="shared" si="39"/>
        <v>81180</v>
      </c>
      <c r="V91" s="189">
        <v>6</v>
      </c>
      <c r="W91" s="189">
        <v>13365.66</v>
      </c>
      <c r="X91" s="189">
        <f t="shared" si="40"/>
        <v>80193.959999999992</v>
      </c>
      <c r="Y91" s="186">
        <v>6</v>
      </c>
      <c r="Z91" s="187">
        <v>16767.849999999999</v>
      </c>
      <c r="AA91" s="188">
        <f t="shared" si="41"/>
        <v>100607.09999999999</v>
      </c>
      <c r="AB91" s="183">
        <v>6</v>
      </c>
      <c r="AC91" s="184">
        <v>25213.65</v>
      </c>
      <c r="AD91" s="185">
        <f t="shared" si="42"/>
        <v>151281.90000000002</v>
      </c>
      <c r="AE91" s="190"/>
      <c r="AF91" s="191"/>
      <c r="AG91" s="191"/>
      <c r="AH91" s="191"/>
      <c r="AI91" s="191">
        <f>AG91-AH91</f>
        <v>0</v>
      </c>
      <c r="AJ91" s="193"/>
      <c r="AK91" s="193"/>
      <c r="AL91" s="193"/>
      <c r="AM91" s="193"/>
      <c r="AN91" s="194"/>
      <c r="AO91" s="195"/>
      <c r="AP91" s="196">
        <f t="shared" si="47"/>
        <v>9291.74</v>
      </c>
      <c r="AQ91" s="196">
        <f t="shared" si="35"/>
        <v>18583.48</v>
      </c>
    </row>
    <row r="92" spans="1:43" s="157" customFormat="1" ht="105" customHeight="1">
      <c r="A92" s="179">
        <v>80</v>
      </c>
      <c r="B92" s="182" t="s">
        <v>274</v>
      </c>
      <c r="C92" s="366" t="s">
        <v>275</v>
      </c>
      <c r="D92" s="366"/>
      <c r="E92" s="181" t="s">
        <v>165</v>
      </c>
      <c r="F92" s="182">
        <v>1</v>
      </c>
      <c r="G92" s="183">
        <v>3</v>
      </c>
      <c r="H92" s="214">
        <v>23893.8</v>
      </c>
      <c r="I92" s="185">
        <f t="shared" si="44"/>
        <v>71681.399999999994</v>
      </c>
      <c r="J92" s="216">
        <v>3</v>
      </c>
      <c r="K92" s="217">
        <v>12711.87</v>
      </c>
      <c r="L92" s="218">
        <f>J92*K92</f>
        <v>38135.61</v>
      </c>
      <c r="M92" s="199">
        <v>3</v>
      </c>
      <c r="N92" s="200">
        <v>14313.6</v>
      </c>
      <c r="O92" s="201">
        <f t="shared" si="37"/>
        <v>42940.800000000003</v>
      </c>
      <c r="P92" s="183">
        <v>3</v>
      </c>
      <c r="Q92" s="184">
        <v>28360</v>
      </c>
      <c r="R92" s="185">
        <f t="shared" si="38"/>
        <v>85080</v>
      </c>
      <c r="S92" s="186">
        <v>3</v>
      </c>
      <c r="T92" s="187">
        <v>18183</v>
      </c>
      <c r="U92" s="188">
        <f t="shared" si="39"/>
        <v>54549</v>
      </c>
      <c r="V92" s="189">
        <v>3</v>
      </c>
      <c r="W92" s="189">
        <v>17265.419999999998</v>
      </c>
      <c r="X92" s="189">
        <f t="shared" si="40"/>
        <v>51796.259999999995</v>
      </c>
      <c r="Y92" s="358" t="s">
        <v>185</v>
      </c>
      <c r="Z92" s="358"/>
      <c r="AA92" s="358"/>
      <c r="AB92" s="183">
        <v>3</v>
      </c>
      <c r="AC92" s="184">
        <v>32559.45</v>
      </c>
      <c r="AD92" s="185">
        <f t="shared" si="42"/>
        <v>97678.35</v>
      </c>
      <c r="AE92" s="190"/>
      <c r="AF92" s="191"/>
      <c r="AG92" s="191"/>
      <c r="AH92" s="191"/>
      <c r="AI92" s="191">
        <f>AG92-AH92</f>
        <v>0</v>
      </c>
      <c r="AJ92" s="193"/>
      <c r="AK92" s="193"/>
      <c r="AL92" s="193"/>
      <c r="AM92" s="193"/>
      <c r="AN92" s="194"/>
      <c r="AO92" s="195"/>
      <c r="AP92" s="196">
        <f t="shared" si="47"/>
        <v>12711.87</v>
      </c>
      <c r="AQ92" s="196">
        <f t="shared" si="35"/>
        <v>12711.87</v>
      </c>
    </row>
    <row r="93" spans="1:43" s="157" customFormat="1" ht="105" customHeight="1">
      <c r="A93" s="179">
        <v>81</v>
      </c>
      <c r="B93" s="182" t="s">
        <v>276</v>
      </c>
      <c r="C93" s="366" t="s">
        <v>277</v>
      </c>
      <c r="D93" s="366"/>
      <c r="E93" s="181" t="s">
        <v>165</v>
      </c>
      <c r="F93" s="182">
        <v>1</v>
      </c>
      <c r="G93" s="183">
        <v>3</v>
      </c>
      <c r="H93" s="214">
        <v>23893.8</v>
      </c>
      <c r="I93" s="185">
        <f t="shared" si="44"/>
        <v>71681.399999999994</v>
      </c>
      <c r="J93" s="358" t="s">
        <v>185</v>
      </c>
      <c r="K93" s="358"/>
      <c r="L93" s="358"/>
      <c r="M93" s="199">
        <v>3</v>
      </c>
      <c r="N93" s="200">
        <v>14448</v>
      </c>
      <c r="O93" s="201">
        <f t="shared" si="37"/>
        <v>43344</v>
      </c>
      <c r="P93" s="183">
        <v>3</v>
      </c>
      <c r="Q93" s="184">
        <v>28341</v>
      </c>
      <c r="R93" s="185">
        <f t="shared" si="38"/>
        <v>85023</v>
      </c>
      <c r="S93" s="186">
        <v>3</v>
      </c>
      <c r="T93" s="187">
        <v>18183</v>
      </c>
      <c r="U93" s="188">
        <f t="shared" si="39"/>
        <v>54549</v>
      </c>
      <c r="V93" s="189">
        <v>3</v>
      </c>
      <c r="W93" s="189">
        <v>17265.419999999998</v>
      </c>
      <c r="X93" s="189">
        <f t="shared" si="40"/>
        <v>51796.259999999995</v>
      </c>
      <c r="Y93" s="358" t="s">
        <v>185</v>
      </c>
      <c r="Z93" s="358"/>
      <c r="AA93" s="358"/>
      <c r="AB93" s="183">
        <v>3</v>
      </c>
      <c r="AC93" s="184">
        <v>32559.45</v>
      </c>
      <c r="AD93" s="185">
        <f t="shared" si="42"/>
        <v>97678.35</v>
      </c>
      <c r="AE93" s="190"/>
      <c r="AF93" s="191"/>
      <c r="AG93" s="191"/>
      <c r="AH93" s="191"/>
      <c r="AI93" s="191">
        <f>AG93-AH93</f>
        <v>0</v>
      </c>
      <c r="AJ93" s="193"/>
      <c r="AK93" s="193"/>
      <c r="AL93" s="193"/>
      <c r="AM93" s="193"/>
      <c r="AN93" s="194"/>
      <c r="AO93" s="195"/>
      <c r="AP93" s="196">
        <f t="shared" si="47"/>
        <v>14448</v>
      </c>
      <c r="AQ93" s="196">
        <f t="shared" si="35"/>
        <v>14448</v>
      </c>
    </row>
    <row r="94" spans="1:43" s="157" customFormat="1" ht="105" customHeight="1">
      <c r="A94" s="179">
        <v>82</v>
      </c>
      <c r="B94" s="182" t="s">
        <v>278</v>
      </c>
      <c r="C94" s="366" t="s">
        <v>279</v>
      </c>
      <c r="D94" s="366"/>
      <c r="E94" s="181" t="s">
        <v>165</v>
      </c>
      <c r="F94" s="222" t="s">
        <v>280</v>
      </c>
      <c r="G94" s="183">
        <v>1</v>
      </c>
      <c r="H94" s="214">
        <v>7885.06</v>
      </c>
      <c r="I94" s="185">
        <f t="shared" si="44"/>
        <v>7885.06</v>
      </c>
      <c r="J94" s="183">
        <v>1</v>
      </c>
      <c r="K94" s="202">
        <v>8306.94</v>
      </c>
      <c r="L94" s="223">
        <f t="shared" ref="L94:L99" si="48">J94*K94</f>
        <v>8306.94</v>
      </c>
      <c r="M94" s="199">
        <v>1</v>
      </c>
      <c r="N94" s="200">
        <v>6039.8</v>
      </c>
      <c r="O94" s="201">
        <f t="shared" si="37"/>
        <v>6039.8</v>
      </c>
      <c r="P94" s="183">
        <v>1</v>
      </c>
      <c r="Q94" s="184">
        <v>6888</v>
      </c>
      <c r="R94" s="185">
        <f t="shared" si="38"/>
        <v>6888</v>
      </c>
      <c r="S94" s="186">
        <v>1</v>
      </c>
      <c r="T94" s="187">
        <v>7806</v>
      </c>
      <c r="U94" s="188">
        <f t="shared" si="39"/>
        <v>7806</v>
      </c>
      <c r="V94" s="189">
        <v>1</v>
      </c>
      <c r="W94" s="189">
        <v>8804.4</v>
      </c>
      <c r="X94" s="189">
        <f t="shared" si="40"/>
        <v>8804.4</v>
      </c>
      <c r="Y94" s="186">
        <v>1</v>
      </c>
      <c r="Z94" s="187">
        <v>5269.49</v>
      </c>
      <c r="AA94" s="188">
        <f>Y94*Z94</f>
        <v>5269.49</v>
      </c>
      <c r="AB94" s="183">
        <v>1</v>
      </c>
      <c r="AC94" s="184">
        <v>7260</v>
      </c>
      <c r="AD94" s="185">
        <f t="shared" si="42"/>
        <v>7260</v>
      </c>
      <c r="AE94" s="190"/>
      <c r="AF94" s="191"/>
      <c r="AG94" s="191"/>
      <c r="AH94" s="191"/>
      <c r="AI94" s="191"/>
      <c r="AJ94" s="193"/>
      <c r="AK94" s="193"/>
      <c r="AL94" s="193"/>
      <c r="AM94" s="193"/>
      <c r="AN94" s="194"/>
      <c r="AO94" s="195"/>
      <c r="AP94" s="196">
        <f t="shared" si="47"/>
        <v>5269.49</v>
      </c>
      <c r="AQ94" s="196" t="str">
        <f t="shared" ref="AQ94:AQ100" si="49">IFERROR(AP94*F94,"")</f>
        <v/>
      </c>
    </row>
    <row r="95" spans="1:43" s="157" customFormat="1" ht="105" customHeight="1">
      <c r="A95" s="179">
        <v>83</v>
      </c>
      <c r="B95" s="182" t="s">
        <v>281</v>
      </c>
      <c r="C95" s="366" t="s">
        <v>279</v>
      </c>
      <c r="D95" s="366"/>
      <c r="E95" s="181" t="s">
        <v>165</v>
      </c>
      <c r="F95" s="222" t="s">
        <v>280</v>
      </c>
      <c r="G95" s="183">
        <v>1</v>
      </c>
      <c r="H95" s="214">
        <v>10917.51</v>
      </c>
      <c r="I95" s="185">
        <f t="shared" si="44"/>
        <v>10917.51</v>
      </c>
      <c r="J95" s="183">
        <v>1</v>
      </c>
      <c r="K95" s="202">
        <v>9888.92</v>
      </c>
      <c r="L95" s="223">
        <f t="shared" si="48"/>
        <v>9888.92</v>
      </c>
      <c r="M95" s="199">
        <v>1</v>
      </c>
      <c r="N95" s="200">
        <v>7096.88</v>
      </c>
      <c r="O95" s="201">
        <f t="shared" si="37"/>
        <v>7096.88</v>
      </c>
      <c r="P95" s="183">
        <v>1</v>
      </c>
      <c r="Q95" s="184">
        <v>8086</v>
      </c>
      <c r="R95" s="185">
        <f t="shared" si="38"/>
        <v>8086</v>
      </c>
      <c r="S95" s="186">
        <v>1</v>
      </c>
      <c r="T95" s="187">
        <v>9194</v>
      </c>
      <c r="U95" s="188">
        <f t="shared" si="39"/>
        <v>9194</v>
      </c>
      <c r="V95" s="189">
        <v>1</v>
      </c>
      <c r="W95" s="189">
        <v>10336.370000000001</v>
      </c>
      <c r="X95" s="189">
        <f t="shared" si="40"/>
        <v>10336.370000000001</v>
      </c>
      <c r="Y95" s="186">
        <v>1</v>
      </c>
      <c r="Z95" s="187">
        <v>6186.38</v>
      </c>
      <c r="AA95" s="188">
        <f>Y95*Z95</f>
        <v>6186.38</v>
      </c>
      <c r="AB95" s="183">
        <v>1</v>
      </c>
      <c r="AC95" s="184">
        <v>8523.24</v>
      </c>
      <c r="AD95" s="185">
        <f t="shared" si="42"/>
        <v>8523.24</v>
      </c>
      <c r="AE95" s="190"/>
      <c r="AF95" s="191"/>
      <c r="AG95" s="191"/>
      <c r="AH95" s="191"/>
      <c r="AI95" s="191"/>
      <c r="AJ95" s="193"/>
      <c r="AK95" s="193"/>
      <c r="AL95" s="193"/>
      <c r="AM95" s="193"/>
      <c r="AN95" s="194"/>
      <c r="AO95" s="195"/>
      <c r="AP95" s="196">
        <f t="shared" si="47"/>
        <v>6186.38</v>
      </c>
      <c r="AQ95" s="196" t="str">
        <f t="shared" si="49"/>
        <v/>
      </c>
    </row>
    <row r="96" spans="1:43" s="157" customFormat="1" ht="105" customHeight="1">
      <c r="A96" s="179">
        <v>84</v>
      </c>
      <c r="B96" s="182" t="s">
        <v>282</v>
      </c>
      <c r="C96" s="366" t="s">
        <v>279</v>
      </c>
      <c r="D96" s="366"/>
      <c r="E96" s="181" t="s">
        <v>165</v>
      </c>
      <c r="F96" s="222" t="s">
        <v>280</v>
      </c>
      <c r="G96" s="183">
        <v>1</v>
      </c>
      <c r="H96" s="214">
        <v>14418.86</v>
      </c>
      <c r="I96" s="185">
        <f t="shared" si="44"/>
        <v>14418.86</v>
      </c>
      <c r="J96" s="183">
        <v>1</v>
      </c>
      <c r="K96" s="202">
        <v>12615.37</v>
      </c>
      <c r="L96" s="223">
        <f t="shared" si="48"/>
        <v>12615.37</v>
      </c>
      <c r="M96" s="199">
        <v>1</v>
      </c>
      <c r="N96" s="200">
        <v>9393.2000000000007</v>
      </c>
      <c r="O96" s="201">
        <f t="shared" si="37"/>
        <v>9393.2000000000007</v>
      </c>
      <c r="P96" s="183">
        <v>1</v>
      </c>
      <c r="Q96" s="184">
        <v>10707</v>
      </c>
      <c r="R96" s="185">
        <f t="shared" si="38"/>
        <v>10707</v>
      </c>
      <c r="S96" s="186">
        <v>1</v>
      </c>
      <c r="T96" s="187">
        <v>10734</v>
      </c>
      <c r="U96" s="188">
        <f t="shared" si="39"/>
        <v>10734</v>
      </c>
      <c r="V96" s="189">
        <v>1</v>
      </c>
      <c r="W96" s="189">
        <v>13686.44</v>
      </c>
      <c r="X96" s="189">
        <f t="shared" si="40"/>
        <v>13686.44</v>
      </c>
      <c r="Y96" s="186">
        <v>1</v>
      </c>
      <c r="Z96" s="187">
        <v>8191.41</v>
      </c>
      <c r="AA96" s="188">
        <f>Y96*Z96</f>
        <v>8191.41</v>
      </c>
      <c r="AB96" s="183">
        <v>1</v>
      </c>
      <c r="AC96" s="184">
        <v>11285.67</v>
      </c>
      <c r="AD96" s="185">
        <f t="shared" si="42"/>
        <v>11285.67</v>
      </c>
      <c r="AE96" s="190"/>
      <c r="AF96" s="191"/>
      <c r="AG96" s="191"/>
      <c r="AH96" s="191"/>
      <c r="AI96" s="191"/>
      <c r="AJ96" s="193"/>
      <c r="AK96" s="193"/>
      <c r="AL96" s="193"/>
      <c r="AM96" s="193"/>
      <c r="AN96" s="194"/>
      <c r="AO96" s="195"/>
      <c r="AP96" s="196">
        <f t="shared" si="47"/>
        <v>8191.41</v>
      </c>
      <c r="AQ96" s="196" t="str">
        <f t="shared" si="49"/>
        <v/>
      </c>
    </row>
    <row r="97" spans="1:43" s="157" customFormat="1" ht="105" customHeight="1">
      <c r="A97" s="179">
        <v>85</v>
      </c>
      <c r="B97" s="182" t="s">
        <v>283</v>
      </c>
      <c r="C97" s="366" t="s">
        <v>279</v>
      </c>
      <c r="D97" s="366"/>
      <c r="E97" s="181" t="s">
        <v>165</v>
      </c>
      <c r="F97" s="222" t="s">
        <v>280</v>
      </c>
      <c r="G97" s="183">
        <v>1</v>
      </c>
      <c r="H97" s="214">
        <v>33219.449999999997</v>
      </c>
      <c r="I97" s="185">
        <f t="shared" si="44"/>
        <v>33219.449999999997</v>
      </c>
      <c r="J97" s="183">
        <v>1</v>
      </c>
      <c r="K97" s="202">
        <v>29323.39</v>
      </c>
      <c r="L97" s="185">
        <f t="shared" si="48"/>
        <v>29323.39</v>
      </c>
      <c r="M97" s="199">
        <v>1</v>
      </c>
      <c r="N97" s="200">
        <v>7096.88</v>
      </c>
      <c r="O97" s="201">
        <f t="shared" si="37"/>
        <v>7096.88</v>
      </c>
      <c r="P97" s="183">
        <v>1</v>
      </c>
      <c r="Q97" s="184">
        <v>25195</v>
      </c>
      <c r="R97" s="185">
        <f t="shared" si="38"/>
        <v>25195</v>
      </c>
      <c r="S97" s="186">
        <v>1</v>
      </c>
      <c r="T97" s="187">
        <v>26485</v>
      </c>
      <c r="U97" s="188">
        <f t="shared" si="39"/>
        <v>26485</v>
      </c>
      <c r="V97" s="189">
        <v>1</v>
      </c>
      <c r="W97" s="189">
        <v>32206.5</v>
      </c>
      <c r="X97" s="189">
        <f t="shared" si="40"/>
        <v>32206.5</v>
      </c>
      <c r="Y97" s="186">
        <v>1</v>
      </c>
      <c r="Z97" s="187">
        <v>19275.77</v>
      </c>
      <c r="AA97" s="188">
        <f>Y97*Z97</f>
        <v>19275.77</v>
      </c>
      <c r="AB97" s="183">
        <v>1</v>
      </c>
      <c r="AC97" s="184">
        <v>26557.08</v>
      </c>
      <c r="AD97" s="185">
        <f t="shared" si="42"/>
        <v>26557.08</v>
      </c>
      <c r="AE97" s="190"/>
      <c r="AF97" s="191"/>
      <c r="AG97" s="191"/>
      <c r="AH97" s="191"/>
      <c r="AI97" s="191"/>
      <c r="AJ97" s="193"/>
      <c r="AK97" s="193"/>
      <c r="AL97" s="193"/>
      <c r="AM97" s="193"/>
      <c r="AN97" s="194"/>
      <c r="AO97" s="195"/>
      <c r="AP97" s="196">
        <f t="shared" si="47"/>
        <v>7096.88</v>
      </c>
      <c r="AQ97" s="196" t="str">
        <f t="shared" si="49"/>
        <v/>
      </c>
    </row>
    <row r="98" spans="1:43" s="157" customFormat="1" ht="105" customHeight="1">
      <c r="A98" s="179">
        <v>86</v>
      </c>
      <c r="B98" s="224" t="s">
        <v>284</v>
      </c>
      <c r="C98" s="366" t="s">
        <v>285</v>
      </c>
      <c r="D98" s="366"/>
      <c r="E98" s="181" t="s">
        <v>165</v>
      </c>
      <c r="F98" s="222" t="s">
        <v>280</v>
      </c>
      <c r="G98" s="183">
        <v>1</v>
      </c>
      <c r="H98" s="214">
        <v>59069.43</v>
      </c>
      <c r="I98" s="185">
        <f t="shared" si="44"/>
        <v>59069.43</v>
      </c>
      <c r="J98" s="216">
        <v>1</v>
      </c>
      <c r="K98" s="217">
        <v>30915.72</v>
      </c>
      <c r="L98" s="218">
        <f t="shared" si="48"/>
        <v>30915.72</v>
      </c>
      <c r="M98" s="199">
        <v>1</v>
      </c>
      <c r="N98" s="200">
        <v>34776</v>
      </c>
      <c r="O98" s="201">
        <f t="shared" si="37"/>
        <v>34776</v>
      </c>
      <c r="P98" s="183">
        <v>1</v>
      </c>
      <c r="Q98" s="184">
        <v>68795</v>
      </c>
      <c r="R98" s="185">
        <f t="shared" si="38"/>
        <v>68795</v>
      </c>
      <c r="S98" s="186">
        <v>1</v>
      </c>
      <c r="T98" s="187">
        <v>45624</v>
      </c>
      <c r="U98" s="188">
        <f t="shared" si="39"/>
        <v>45624</v>
      </c>
      <c r="V98" s="189">
        <v>1</v>
      </c>
      <c r="W98" s="189">
        <v>56333.02</v>
      </c>
      <c r="X98" s="189">
        <f t="shared" si="40"/>
        <v>56333.02</v>
      </c>
      <c r="Y98" s="358" t="s">
        <v>185</v>
      </c>
      <c r="Z98" s="358"/>
      <c r="AA98" s="358"/>
      <c r="AB98" s="183">
        <v>1</v>
      </c>
      <c r="AC98" s="184">
        <v>78984.039999999994</v>
      </c>
      <c r="AD98" s="185">
        <f t="shared" si="42"/>
        <v>78984.039999999994</v>
      </c>
      <c r="AE98" s="190"/>
      <c r="AF98" s="191"/>
      <c r="AG98" s="191"/>
      <c r="AH98" s="191"/>
      <c r="AI98" s="191">
        <f>AG98-AH98</f>
        <v>0</v>
      </c>
      <c r="AJ98" s="193"/>
      <c r="AK98" s="193"/>
      <c r="AL98" s="193"/>
      <c r="AM98" s="193"/>
      <c r="AN98" s="194"/>
      <c r="AO98" s="195"/>
      <c r="AP98" s="196">
        <f t="shared" si="47"/>
        <v>30915.72</v>
      </c>
      <c r="AQ98" s="196" t="str">
        <f t="shared" si="49"/>
        <v/>
      </c>
    </row>
    <row r="99" spans="1:43" s="157" customFormat="1" ht="105" customHeight="1">
      <c r="A99" s="179">
        <v>87</v>
      </c>
      <c r="B99" s="224" t="s">
        <v>286</v>
      </c>
      <c r="C99" s="366" t="s">
        <v>287</v>
      </c>
      <c r="D99" s="366"/>
      <c r="E99" s="181" t="s">
        <v>165</v>
      </c>
      <c r="F99" s="222" t="s">
        <v>280</v>
      </c>
      <c r="G99" s="183">
        <v>1</v>
      </c>
      <c r="H99" s="214">
        <v>38710.15</v>
      </c>
      <c r="I99" s="185">
        <f t="shared" si="44"/>
        <v>38710.15</v>
      </c>
      <c r="J99" s="216">
        <v>1</v>
      </c>
      <c r="K99" s="217">
        <v>21449.64</v>
      </c>
      <c r="L99" s="218">
        <f t="shared" si="48"/>
        <v>21449.64</v>
      </c>
      <c r="M99" s="199">
        <v>1</v>
      </c>
      <c r="N99" s="200">
        <v>13440</v>
      </c>
      <c r="O99" s="201">
        <f t="shared" si="37"/>
        <v>13440</v>
      </c>
      <c r="P99" s="358" t="s">
        <v>185</v>
      </c>
      <c r="Q99" s="358"/>
      <c r="R99" s="358"/>
      <c r="S99" s="186">
        <v>1</v>
      </c>
      <c r="T99" s="187">
        <v>22118</v>
      </c>
      <c r="U99" s="188">
        <f t="shared" si="39"/>
        <v>22118</v>
      </c>
      <c r="V99" s="189">
        <v>1</v>
      </c>
      <c r="W99" s="189">
        <v>21819.01</v>
      </c>
      <c r="X99" s="189">
        <f t="shared" si="40"/>
        <v>21819.01</v>
      </c>
      <c r="Y99" s="358" t="s">
        <v>185</v>
      </c>
      <c r="Z99" s="358"/>
      <c r="AA99" s="358"/>
      <c r="AB99" s="183">
        <v>1</v>
      </c>
      <c r="AC99" s="184">
        <v>30592.240000000002</v>
      </c>
      <c r="AD99" s="185">
        <f t="shared" si="42"/>
        <v>30592.240000000002</v>
      </c>
      <c r="AE99" s="190"/>
      <c r="AF99" s="191"/>
      <c r="AG99" s="191"/>
      <c r="AH99" s="191"/>
      <c r="AI99" s="191">
        <f>AG99-AH99</f>
        <v>0</v>
      </c>
      <c r="AJ99" s="193"/>
      <c r="AK99" s="193"/>
      <c r="AL99" s="193"/>
      <c r="AM99" s="193"/>
      <c r="AN99" s="194"/>
      <c r="AO99" s="195"/>
      <c r="AP99" s="196">
        <f t="shared" si="47"/>
        <v>13440</v>
      </c>
      <c r="AQ99" s="196" t="str">
        <f t="shared" si="49"/>
        <v/>
      </c>
    </row>
    <row r="100" spans="1:43" s="157" customFormat="1" ht="105" customHeight="1">
      <c r="A100" s="179">
        <v>88</v>
      </c>
      <c r="B100" s="224" t="s">
        <v>286</v>
      </c>
      <c r="C100" s="366" t="s">
        <v>288</v>
      </c>
      <c r="D100" s="366"/>
      <c r="E100" s="181" t="s">
        <v>165</v>
      </c>
      <c r="F100" s="222" t="s">
        <v>280</v>
      </c>
      <c r="G100" s="358" t="s">
        <v>185</v>
      </c>
      <c r="H100" s="358"/>
      <c r="I100" s="358"/>
      <c r="J100" s="358" t="s">
        <v>185</v>
      </c>
      <c r="K100" s="358"/>
      <c r="L100" s="358"/>
      <c r="M100" s="199">
        <v>1</v>
      </c>
      <c r="N100" s="200">
        <v>7761.6</v>
      </c>
      <c r="O100" s="201">
        <f t="shared" si="37"/>
        <v>7761.6</v>
      </c>
      <c r="P100" s="358" t="s">
        <v>185</v>
      </c>
      <c r="Q100" s="358"/>
      <c r="R100" s="358"/>
      <c r="S100" s="358" t="s">
        <v>185</v>
      </c>
      <c r="T100" s="358"/>
      <c r="U100" s="358"/>
      <c r="V100" s="358" t="s">
        <v>185</v>
      </c>
      <c r="W100" s="358"/>
      <c r="X100" s="358"/>
      <c r="Y100" s="358" t="s">
        <v>185</v>
      </c>
      <c r="Z100" s="358"/>
      <c r="AA100" s="358"/>
      <c r="AB100" s="183">
        <v>1</v>
      </c>
      <c r="AC100" s="184">
        <v>14158.16</v>
      </c>
      <c r="AD100" s="185">
        <f t="shared" si="42"/>
        <v>14158.16</v>
      </c>
      <c r="AE100" s="190"/>
      <c r="AF100" s="191"/>
      <c r="AG100" s="191"/>
      <c r="AH100" s="191"/>
      <c r="AI100" s="191">
        <f>AG100-AH100</f>
        <v>0</v>
      </c>
      <c r="AJ100" s="193"/>
      <c r="AK100" s="193"/>
      <c r="AL100" s="193"/>
      <c r="AM100" s="193"/>
      <c r="AN100" s="194"/>
      <c r="AO100" s="195"/>
      <c r="AP100" s="196">
        <f t="shared" si="47"/>
        <v>7761.6</v>
      </c>
      <c r="AQ100" s="196" t="str">
        <f t="shared" si="49"/>
        <v/>
      </c>
    </row>
    <row r="101" spans="1:43" s="157" customFormat="1" ht="105" customHeight="1">
      <c r="A101" s="179">
        <v>89</v>
      </c>
      <c r="B101" s="224" t="s">
        <v>289</v>
      </c>
      <c r="C101" s="366" t="s">
        <v>288</v>
      </c>
      <c r="D101" s="366"/>
      <c r="E101" s="181" t="s">
        <v>165</v>
      </c>
      <c r="F101" s="222" t="s">
        <v>280</v>
      </c>
      <c r="G101" s="183">
        <v>1</v>
      </c>
      <c r="H101" s="214">
        <v>12864.79</v>
      </c>
      <c r="I101" s="185">
        <f>G101*H101</f>
        <v>12864.79</v>
      </c>
      <c r="J101" s="358" t="s">
        <v>185</v>
      </c>
      <c r="K101" s="358"/>
      <c r="L101" s="358"/>
      <c r="M101" s="199">
        <v>1</v>
      </c>
      <c r="N101" s="200">
        <v>6350.4</v>
      </c>
      <c r="O101" s="201">
        <f t="shared" si="37"/>
        <v>6350.4</v>
      </c>
      <c r="P101" s="183">
        <v>1</v>
      </c>
      <c r="Q101" s="184">
        <v>12632</v>
      </c>
      <c r="R101" s="185">
        <f>P101*Q101</f>
        <v>12632</v>
      </c>
      <c r="S101" s="186">
        <v>1</v>
      </c>
      <c r="T101" s="187">
        <v>9320</v>
      </c>
      <c r="U101" s="188">
        <f>S101*T101</f>
        <v>9320</v>
      </c>
      <c r="V101" s="189">
        <v>1</v>
      </c>
      <c r="W101" s="189">
        <v>10290.98</v>
      </c>
      <c r="X101" s="189">
        <f>V101*W101</f>
        <v>10290.98</v>
      </c>
      <c r="Y101" s="358" t="s">
        <v>185</v>
      </c>
      <c r="Z101" s="358"/>
      <c r="AA101" s="358"/>
      <c r="AB101" s="183">
        <v>1</v>
      </c>
      <c r="AC101" s="184">
        <v>14428.89</v>
      </c>
      <c r="AD101" s="185">
        <f t="shared" si="42"/>
        <v>14428.89</v>
      </c>
      <c r="AE101" s="190"/>
      <c r="AF101" s="191"/>
      <c r="AG101" s="191"/>
      <c r="AH101" s="191"/>
      <c r="AI101" s="191"/>
      <c r="AJ101" s="193"/>
      <c r="AK101" s="193"/>
      <c r="AL101" s="193"/>
      <c r="AM101" s="193"/>
      <c r="AN101" s="194"/>
      <c r="AO101" s="195"/>
      <c r="AP101" s="196"/>
      <c r="AQ101" s="196"/>
    </row>
    <row r="102" spans="1:43" s="157" customFormat="1" ht="105" customHeight="1">
      <c r="A102" s="179">
        <v>90</v>
      </c>
      <c r="B102" s="224" t="s">
        <v>290</v>
      </c>
      <c r="C102" s="366" t="s">
        <v>288</v>
      </c>
      <c r="D102" s="366"/>
      <c r="E102" s="181" t="s">
        <v>165</v>
      </c>
      <c r="F102" s="222" t="s">
        <v>280</v>
      </c>
      <c r="G102" s="183">
        <v>1</v>
      </c>
      <c r="H102" s="214">
        <v>45899.48</v>
      </c>
      <c r="I102" s="185">
        <f>G102*H102</f>
        <v>45899.48</v>
      </c>
      <c r="J102" s="183">
        <v>1</v>
      </c>
      <c r="K102" s="202">
        <v>44421.02</v>
      </c>
      <c r="L102" s="185">
        <f>J102*K102</f>
        <v>44421.02</v>
      </c>
      <c r="M102" s="199">
        <v>1</v>
      </c>
      <c r="N102" s="200">
        <v>34150.400000000001</v>
      </c>
      <c r="O102" s="201">
        <f t="shared" si="37"/>
        <v>34150.400000000001</v>
      </c>
      <c r="P102" s="183">
        <v>1</v>
      </c>
      <c r="Q102" s="184">
        <v>38939</v>
      </c>
      <c r="R102" s="185">
        <f>P102*Q102</f>
        <v>38939</v>
      </c>
      <c r="S102" s="186">
        <v>1</v>
      </c>
      <c r="T102" s="187">
        <v>38493</v>
      </c>
      <c r="U102" s="188">
        <f>S102*T102</f>
        <v>38493</v>
      </c>
      <c r="V102" s="189">
        <v>1</v>
      </c>
      <c r="W102" s="189">
        <v>49775.68</v>
      </c>
      <c r="X102" s="189">
        <f>V102*W102</f>
        <v>49775.68</v>
      </c>
      <c r="Y102" s="186">
        <v>1</v>
      </c>
      <c r="Z102" s="187">
        <v>29791.03</v>
      </c>
      <c r="AA102" s="188">
        <f>Y102*Z102</f>
        <v>29791.03</v>
      </c>
      <c r="AB102" s="183">
        <v>1</v>
      </c>
      <c r="AC102" s="184">
        <v>41044.410000000003</v>
      </c>
      <c r="AD102" s="185">
        <f t="shared" si="42"/>
        <v>41044.410000000003</v>
      </c>
      <c r="AE102" s="190"/>
      <c r="AF102" s="191"/>
      <c r="AG102" s="191"/>
      <c r="AH102" s="191"/>
      <c r="AI102" s="191"/>
      <c r="AJ102" s="193"/>
      <c r="AK102" s="193"/>
      <c r="AL102" s="193"/>
      <c r="AM102" s="193"/>
      <c r="AN102" s="194"/>
      <c r="AO102" s="195"/>
      <c r="AP102" s="196"/>
      <c r="AQ102" s="196"/>
    </row>
    <row r="103" spans="1:43" s="157" customFormat="1" ht="105" customHeight="1">
      <c r="A103" s="179">
        <v>91</v>
      </c>
      <c r="B103" s="224" t="s">
        <v>291</v>
      </c>
      <c r="C103" s="366" t="s">
        <v>285</v>
      </c>
      <c r="D103" s="366"/>
      <c r="E103" s="181" t="s">
        <v>165</v>
      </c>
      <c r="F103" s="222" t="s">
        <v>280</v>
      </c>
      <c r="G103" s="183">
        <v>1</v>
      </c>
      <c r="H103" s="214">
        <v>35700.42</v>
      </c>
      <c r="I103" s="185">
        <f>G103*H103</f>
        <v>35700.42</v>
      </c>
      <c r="J103" s="216">
        <v>1</v>
      </c>
      <c r="K103" s="217">
        <v>19824.75</v>
      </c>
      <c r="L103" s="218">
        <f>J103*K103</f>
        <v>19824.75</v>
      </c>
      <c r="M103" s="199">
        <v>1</v>
      </c>
      <c r="N103" s="200">
        <v>26208</v>
      </c>
      <c r="O103" s="201">
        <f t="shared" si="37"/>
        <v>26208</v>
      </c>
      <c r="P103" s="358" t="s">
        <v>185</v>
      </c>
      <c r="Q103" s="358"/>
      <c r="R103" s="358"/>
      <c r="S103" s="186">
        <v>1</v>
      </c>
      <c r="T103" s="187">
        <v>29950</v>
      </c>
      <c r="U103" s="188">
        <f>S103*T103</f>
        <v>29950</v>
      </c>
      <c r="V103" s="189">
        <v>1</v>
      </c>
      <c r="W103" s="189">
        <v>16925.87</v>
      </c>
      <c r="X103" s="189">
        <f>V103*W103</f>
        <v>16925.87</v>
      </c>
      <c r="Y103" s="186">
        <v>1</v>
      </c>
      <c r="Z103" s="187">
        <v>33589.32</v>
      </c>
      <c r="AA103" s="188">
        <f>Y103*Z103</f>
        <v>33589.32</v>
      </c>
      <c r="AB103" s="183">
        <v>1</v>
      </c>
      <c r="AC103" s="184">
        <v>45379.26</v>
      </c>
      <c r="AD103" s="185">
        <f t="shared" si="42"/>
        <v>45379.26</v>
      </c>
      <c r="AE103" s="190"/>
      <c r="AF103" s="191"/>
      <c r="AG103" s="191"/>
      <c r="AH103" s="191"/>
      <c r="AI103" s="191">
        <f>AG103-AH103</f>
        <v>0</v>
      </c>
      <c r="AJ103" s="193"/>
      <c r="AK103" s="193"/>
      <c r="AL103" s="193"/>
      <c r="AM103" s="193"/>
      <c r="AN103" s="194"/>
      <c r="AO103" s="195"/>
      <c r="AP103" s="196">
        <f t="shared" ref="AP103:AP120" si="50">MIN(H103,K103,N103,Q103,T103,W103,Z103,AC103)</f>
        <v>16925.87</v>
      </c>
      <c r="AQ103" s="196" t="str">
        <f>IFERROR(AP103*F103,"")</f>
        <v/>
      </c>
    </row>
    <row r="104" spans="1:43" s="157" customFormat="1" ht="105" customHeight="1">
      <c r="A104" s="179">
        <v>92</v>
      </c>
      <c r="B104" s="224" t="s">
        <v>292</v>
      </c>
      <c r="C104" s="366" t="s">
        <v>293</v>
      </c>
      <c r="D104" s="366"/>
      <c r="E104" s="181" t="s">
        <v>165</v>
      </c>
      <c r="F104" s="222" t="s">
        <v>280</v>
      </c>
      <c r="G104" s="358" t="s">
        <v>185</v>
      </c>
      <c r="H104" s="358"/>
      <c r="I104" s="358"/>
      <c r="J104" s="358" t="s">
        <v>185</v>
      </c>
      <c r="K104" s="358"/>
      <c r="L104" s="358"/>
      <c r="M104" s="358" t="s">
        <v>185</v>
      </c>
      <c r="N104" s="358"/>
      <c r="O104" s="358"/>
      <c r="P104" s="358" t="s">
        <v>185</v>
      </c>
      <c r="Q104" s="358"/>
      <c r="R104" s="358"/>
      <c r="S104" s="358" t="s">
        <v>185</v>
      </c>
      <c r="T104" s="358"/>
      <c r="U104" s="358"/>
      <c r="V104" s="358" t="s">
        <v>185</v>
      </c>
      <c r="W104" s="358"/>
      <c r="X104" s="358"/>
      <c r="Y104" s="358" t="s">
        <v>185</v>
      </c>
      <c r="Z104" s="358"/>
      <c r="AA104" s="358"/>
      <c r="AB104" s="358" t="s">
        <v>185</v>
      </c>
      <c r="AC104" s="358"/>
      <c r="AD104" s="358"/>
      <c r="AE104" s="190"/>
      <c r="AF104" s="191"/>
      <c r="AG104" s="191"/>
      <c r="AH104" s="191"/>
      <c r="AI104" s="191"/>
      <c r="AJ104" s="193"/>
      <c r="AK104" s="193"/>
      <c r="AL104" s="193"/>
      <c r="AM104" s="193"/>
      <c r="AN104" s="194"/>
      <c r="AO104" s="195"/>
      <c r="AP104" s="196">
        <f t="shared" si="50"/>
        <v>0</v>
      </c>
      <c r="AQ104" s="196" t="str">
        <f>IFERROR(AP104*F104,"")</f>
        <v/>
      </c>
    </row>
    <row r="105" spans="1:43" s="157" customFormat="1" ht="105" customHeight="1">
      <c r="A105" s="179">
        <v>93</v>
      </c>
      <c r="B105" s="224" t="s">
        <v>292</v>
      </c>
      <c r="C105" s="366" t="s">
        <v>294</v>
      </c>
      <c r="D105" s="366"/>
      <c r="E105" s="181" t="s">
        <v>165</v>
      </c>
      <c r="F105" s="222" t="s">
        <v>280</v>
      </c>
      <c r="G105" s="358" t="s">
        <v>185</v>
      </c>
      <c r="H105" s="358"/>
      <c r="I105" s="358"/>
      <c r="J105" s="358" t="s">
        <v>185</v>
      </c>
      <c r="K105" s="358"/>
      <c r="L105" s="358"/>
      <c r="M105" s="358" t="s">
        <v>185</v>
      </c>
      <c r="N105" s="358"/>
      <c r="O105" s="358"/>
      <c r="P105" s="358" t="s">
        <v>185</v>
      </c>
      <c r="Q105" s="358"/>
      <c r="R105" s="358"/>
      <c r="S105" s="358" t="s">
        <v>185</v>
      </c>
      <c r="T105" s="358"/>
      <c r="U105" s="358"/>
      <c r="V105" s="358" t="s">
        <v>185</v>
      </c>
      <c r="W105" s="358"/>
      <c r="X105" s="358"/>
      <c r="Y105" s="358" t="s">
        <v>185</v>
      </c>
      <c r="Z105" s="358"/>
      <c r="AA105" s="358"/>
      <c r="AB105" s="358" t="s">
        <v>185</v>
      </c>
      <c r="AC105" s="358"/>
      <c r="AD105" s="358"/>
      <c r="AE105" s="190"/>
      <c r="AF105" s="191"/>
      <c r="AG105" s="191"/>
      <c r="AH105" s="191"/>
      <c r="AI105" s="191"/>
      <c r="AJ105" s="193"/>
      <c r="AK105" s="193"/>
      <c r="AL105" s="193"/>
      <c r="AM105" s="193"/>
      <c r="AN105" s="194"/>
      <c r="AO105" s="195"/>
      <c r="AP105" s="196">
        <f t="shared" si="50"/>
        <v>0</v>
      </c>
      <c r="AQ105" s="196" t="str">
        <f>IFERROR(AP105*F105,"")</f>
        <v/>
      </c>
    </row>
    <row r="106" spans="1:43" s="157" customFormat="1" ht="105" customHeight="1">
      <c r="A106" s="179">
        <v>94</v>
      </c>
      <c r="B106" s="224" t="s">
        <v>295</v>
      </c>
      <c r="C106" s="366" t="s">
        <v>296</v>
      </c>
      <c r="D106" s="366"/>
      <c r="E106" s="181" t="s">
        <v>165</v>
      </c>
      <c r="F106" s="182">
        <v>13</v>
      </c>
      <c r="G106" s="225">
        <v>1</v>
      </c>
      <c r="H106" s="226">
        <v>4793.46</v>
      </c>
      <c r="I106" s="227">
        <f>G106*H106</f>
        <v>4793.46</v>
      </c>
      <c r="J106" s="358" t="s">
        <v>185</v>
      </c>
      <c r="K106" s="358"/>
      <c r="L106" s="358"/>
      <c r="M106" s="228">
        <v>1</v>
      </c>
      <c r="N106" s="229">
        <v>2486.4</v>
      </c>
      <c r="O106" s="201">
        <f>M106*N106</f>
        <v>2486.4</v>
      </c>
      <c r="P106" s="358" t="s">
        <v>185</v>
      </c>
      <c r="Q106" s="358"/>
      <c r="R106" s="358"/>
      <c r="S106" s="358" t="s">
        <v>185</v>
      </c>
      <c r="T106" s="358"/>
      <c r="U106" s="358"/>
      <c r="V106" s="189">
        <v>1</v>
      </c>
      <c r="W106" s="189">
        <v>4027.06</v>
      </c>
      <c r="X106" s="189">
        <f>V106*W106</f>
        <v>4027.06</v>
      </c>
      <c r="Y106" s="186">
        <v>1</v>
      </c>
      <c r="Z106" s="187">
        <v>4584.45</v>
      </c>
      <c r="AA106" s="188">
        <f>Y106*Z106</f>
        <v>4584.45</v>
      </c>
      <c r="AB106" s="225">
        <v>1</v>
      </c>
      <c r="AC106" s="184">
        <v>5646.3</v>
      </c>
      <c r="AD106" s="185">
        <f>AB106*AC106</f>
        <v>5646.3</v>
      </c>
      <c r="AE106" s="190"/>
      <c r="AF106" s="191"/>
      <c r="AG106" s="191"/>
      <c r="AH106" s="191"/>
      <c r="AI106" s="191"/>
      <c r="AJ106" s="193"/>
      <c r="AK106" s="193"/>
      <c r="AL106" s="193"/>
      <c r="AM106" s="193"/>
      <c r="AN106" s="194"/>
      <c r="AO106" s="195"/>
      <c r="AP106" s="196">
        <f t="shared" si="50"/>
        <v>2486.4</v>
      </c>
      <c r="AQ106" s="196">
        <f>AP106*F106</f>
        <v>32323.200000000001</v>
      </c>
    </row>
    <row r="107" spans="1:43" s="157" customFormat="1" ht="105" customHeight="1">
      <c r="A107" s="179">
        <v>95</v>
      </c>
      <c r="B107" s="224" t="s">
        <v>297</v>
      </c>
      <c r="C107" s="366"/>
      <c r="D107" s="366"/>
      <c r="E107" s="181"/>
      <c r="F107" s="182"/>
      <c r="G107" s="225">
        <v>1</v>
      </c>
      <c r="H107" s="226">
        <v>2901.38</v>
      </c>
      <c r="I107" s="227">
        <f>G107*H107</f>
        <v>2901.38</v>
      </c>
      <c r="J107" s="358" t="s">
        <v>185</v>
      </c>
      <c r="K107" s="358"/>
      <c r="L107" s="358"/>
      <c r="M107" s="228">
        <v>1</v>
      </c>
      <c r="N107" s="229">
        <v>1344</v>
      </c>
      <c r="O107" s="201">
        <f>M107*N107</f>
        <v>1344</v>
      </c>
      <c r="P107" s="225">
        <v>1</v>
      </c>
      <c r="Q107" s="230">
        <v>2643</v>
      </c>
      <c r="R107" s="185">
        <f>P107*Q107</f>
        <v>2643</v>
      </c>
      <c r="S107" s="358" t="s">
        <v>185</v>
      </c>
      <c r="T107" s="358"/>
      <c r="U107" s="358"/>
      <c r="V107" s="189">
        <v>1</v>
      </c>
      <c r="W107" s="189">
        <v>2163.96</v>
      </c>
      <c r="X107" s="189">
        <f>V107*W107</f>
        <v>2163.96</v>
      </c>
      <c r="Y107" s="186">
        <v>1</v>
      </c>
      <c r="Z107" s="187">
        <v>2463.48</v>
      </c>
      <c r="AA107" s="188">
        <f>Y107*Z107</f>
        <v>2463.48</v>
      </c>
      <c r="AB107" s="225">
        <v>1</v>
      </c>
      <c r="AC107" s="184">
        <v>3034.08</v>
      </c>
      <c r="AD107" s="185">
        <f>AB107*AC107</f>
        <v>3034.08</v>
      </c>
      <c r="AE107" s="190"/>
      <c r="AF107" s="191"/>
      <c r="AG107" s="191"/>
      <c r="AH107" s="191"/>
      <c r="AI107" s="191"/>
      <c r="AJ107" s="193"/>
      <c r="AK107" s="193"/>
      <c r="AL107" s="193"/>
      <c r="AM107" s="193"/>
      <c r="AN107" s="194"/>
      <c r="AO107" s="195"/>
      <c r="AP107" s="196">
        <f t="shared" si="50"/>
        <v>1344</v>
      </c>
      <c r="AQ107" s="196">
        <f>AP107*F107</f>
        <v>0</v>
      </c>
    </row>
    <row r="108" spans="1:43" s="157" customFormat="1" ht="105" customHeight="1">
      <c r="A108" s="179">
        <v>96</v>
      </c>
      <c r="B108" s="231" t="s">
        <v>298</v>
      </c>
      <c r="C108" s="366" t="s">
        <v>299</v>
      </c>
      <c r="D108" s="366"/>
      <c r="E108" s="181" t="s">
        <v>165</v>
      </c>
      <c r="F108" s="222" t="s">
        <v>280</v>
      </c>
      <c r="G108" s="358" t="s">
        <v>185</v>
      </c>
      <c r="H108" s="358"/>
      <c r="I108" s="358"/>
      <c r="J108" s="358" t="s">
        <v>185</v>
      </c>
      <c r="K108" s="358"/>
      <c r="L108" s="358"/>
      <c r="M108" s="358" t="s">
        <v>185</v>
      </c>
      <c r="N108" s="358"/>
      <c r="O108" s="358"/>
      <c r="P108" s="358" t="s">
        <v>185</v>
      </c>
      <c r="Q108" s="358"/>
      <c r="R108" s="358"/>
      <c r="S108" s="358" t="s">
        <v>185</v>
      </c>
      <c r="T108" s="358"/>
      <c r="U108" s="358"/>
      <c r="V108" s="358" t="s">
        <v>185</v>
      </c>
      <c r="W108" s="358"/>
      <c r="X108" s="358"/>
      <c r="Y108" s="358" t="s">
        <v>185</v>
      </c>
      <c r="Z108" s="358"/>
      <c r="AA108" s="358"/>
      <c r="AB108" s="358" t="s">
        <v>185</v>
      </c>
      <c r="AC108" s="358"/>
      <c r="AD108" s="358"/>
      <c r="AE108" s="190"/>
      <c r="AF108" s="191"/>
      <c r="AG108" s="191"/>
      <c r="AH108" s="191"/>
      <c r="AI108" s="191"/>
      <c r="AJ108" s="193"/>
      <c r="AK108" s="193"/>
      <c r="AL108" s="193"/>
      <c r="AM108" s="193"/>
      <c r="AN108" s="194"/>
      <c r="AO108" s="195"/>
      <c r="AP108" s="196">
        <f t="shared" si="50"/>
        <v>0</v>
      </c>
      <c r="AQ108" s="196" t="str">
        <f>IFERROR(AP108*F108,"")</f>
        <v/>
      </c>
    </row>
    <row r="109" spans="1:43" s="157" customFormat="1" ht="105" customHeight="1">
      <c r="A109" s="179">
        <v>97</v>
      </c>
      <c r="B109" s="180" t="s">
        <v>298</v>
      </c>
      <c r="C109" s="366" t="s">
        <v>300</v>
      </c>
      <c r="D109" s="366"/>
      <c r="E109" s="181" t="s">
        <v>165</v>
      </c>
      <c r="F109" s="222" t="s">
        <v>280</v>
      </c>
      <c r="G109" s="358" t="s">
        <v>185</v>
      </c>
      <c r="H109" s="358"/>
      <c r="I109" s="358"/>
      <c r="J109" s="358" t="s">
        <v>185</v>
      </c>
      <c r="K109" s="358"/>
      <c r="L109" s="358"/>
      <c r="M109" s="358" t="s">
        <v>185</v>
      </c>
      <c r="N109" s="358"/>
      <c r="O109" s="358"/>
      <c r="P109" s="358" t="s">
        <v>185</v>
      </c>
      <c r="Q109" s="358"/>
      <c r="R109" s="358"/>
      <c r="S109" s="358" t="s">
        <v>185</v>
      </c>
      <c r="T109" s="358"/>
      <c r="U109" s="358"/>
      <c r="V109" s="358" t="s">
        <v>185</v>
      </c>
      <c r="W109" s="358"/>
      <c r="X109" s="358"/>
      <c r="Y109" s="358" t="s">
        <v>185</v>
      </c>
      <c r="Z109" s="358"/>
      <c r="AA109" s="358"/>
      <c r="AB109" s="358" t="s">
        <v>185</v>
      </c>
      <c r="AC109" s="358"/>
      <c r="AD109" s="358"/>
      <c r="AE109" s="190"/>
      <c r="AF109" s="191"/>
      <c r="AG109" s="191"/>
      <c r="AH109" s="191"/>
      <c r="AI109" s="191"/>
      <c r="AJ109" s="193"/>
      <c r="AK109" s="193"/>
      <c r="AL109" s="193"/>
      <c r="AM109" s="193"/>
      <c r="AN109" s="194"/>
      <c r="AO109" s="195"/>
      <c r="AP109" s="196">
        <f t="shared" si="50"/>
        <v>0</v>
      </c>
      <c r="AQ109" s="196" t="str">
        <f>IFERROR(AP109*F109,"")</f>
        <v/>
      </c>
    </row>
    <row r="110" spans="1:43" s="157" customFormat="1" ht="105" customHeight="1">
      <c r="A110" s="179">
        <v>98</v>
      </c>
      <c r="B110" s="231" t="s">
        <v>301</v>
      </c>
      <c r="C110" s="366" t="s">
        <v>302</v>
      </c>
      <c r="D110" s="366"/>
      <c r="E110" s="181" t="s">
        <v>165</v>
      </c>
      <c r="F110" s="222" t="s">
        <v>280</v>
      </c>
      <c r="G110" s="358" t="s">
        <v>185</v>
      </c>
      <c r="H110" s="358"/>
      <c r="I110" s="358"/>
      <c r="J110" s="358" t="s">
        <v>185</v>
      </c>
      <c r="K110" s="358"/>
      <c r="L110" s="358"/>
      <c r="M110" s="228">
        <v>1</v>
      </c>
      <c r="N110" s="229">
        <v>165247.20000000001</v>
      </c>
      <c r="O110" s="201">
        <f>M110*N110</f>
        <v>165247.20000000001</v>
      </c>
      <c r="P110" s="358" t="s">
        <v>185</v>
      </c>
      <c r="Q110" s="358"/>
      <c r="R110" s="358"/>
      <c r="S110" s="186">
        <v>1</v>
      </c>
      <c r="T110" s="187">
        <v>348912</v>
      </c>
      <c r="U110" s="188">
        <f>S110*T110</f>
        <v>348912</v>
      </c>
      <c r="V110" s="189">
        <v>1</v>
      </c>
      <c r="W110" s="189">
        <v>224825.33</v>
      </c>
      <c r="X110" s="189">
        <f>V110*W110</f>
        <v>224825.33</v>
      </c>
      <c r="Y110" s="186">
        <v>1</v>
      </c>
      <c r="Z110" s="187">
        <v>165021.91</v>
      </c>
      <c r="AA110" s="188">
        <f>Y110*Z110</f>
        <v>165021.91</v>
      </c>
      <c r="AB110" s="225">
        <v>1</v>
      </c>
      <c r="AC110" s="184">
        <v>295900</v>
      </c>
      <c r="AD110" s="185">
        <f>AB110*AC110</f>
        <v>295900</v>
      </c>
      <c r="AE110" s="190"/>
      <c r="AF110" s="191"/>
      <c r="AG110" s="191"/>
      <c r="AH110" s="191"/>
      <c r="AI110" s="191"/>
      <c r="AJ110" s="193"/>
      <c r="AK110" s="193"/>
      <c r="AL110" s="193"/>
      <c r="AM110" s="193"/>
      <c r="AN110" s="194"/>
      <c r="AO110" s="195"/>
      <c r="AP110" s="196">
        <f t="shared" si="50"/>
        <v>165021.91</v>
      </c>
      <c r="AQ110" s="196" t="str">
        <f>IFERROR(AP110*F110,"")</f>
        <v/>
      </c>
    </row>
    <row r="111" spans="1:43" s="157" customFormat="1" ht="105" customHeight="1">
      <c r="A111" s="179">
        <v>99</v>
      </c>
      <c r="B111" s="182" t="s">
        <v>303</v>
      </c>
      <c r="C111" s="367" t="s">
        <v>304</v>
      </c>
      <c r="D111" s="367"/>
      <c r="E111" s="181" t="s">
        <v>165</v>
      </c>
      <c r="F111" s="182">
        <v>1</v>
      </c>
      <c r="G111" s="225">
        <v>1</v>
      </c>
      <c r="H111" s="226">
        <v>101719.88</v>
      </c>
      <c r="I111" s="227">
        <f>G111*H111</f>
        <v>101719.88</v>
      </c>
      <c r="J111" s="225">
        <v>1</v>
      </c>
      <c r="K111" s="232">
        <v>147269.22</v>
      </c>
      <c r="L111" s="185">
        <f>J111*K111</f>
        <v>147269.22</v>
      </c>
      <c r="M111" s="228">
        <v>1</v>
      </c>
      <c r="N111" s="229">
        <v>86961.600000000006</v>
      </c>
      <c r="O111" s="201">
        <f>M111*N111</f>
        <v>86961.600000000006</v>
      </c>
      <c r="P111" s="225">
        <v>1</v>
      </c>
      <c r="Q111" s="230">
        <v>82137</v>
      </c>
      <c r="R111" s="185">
        <f>P111*Q111</f>
        <v>82137</v>
      </c>
      <c r="S111" s="186">
        <v>1</v>
      </c>
      <c r="T111" s="187">
        <v>114812</v>
      </c>
      <c r="U111" s="188">
        <f>S111*T111</f>
        <v>114812</v>
      </c>
      <c r="V111" s="189">
        <v>1</v>
      </c>
      <c r="W111" s="189">
        <v>71663.990000000005</v>
      </c>
      <c r="X111" s="189">
        <f>V111*W111</f>
        <v>71663.990000000005</v>
      </c>
      <c r="Y111" s="186">
        <v>1</v>
      </c>
      <c r="Z111" s="187">
        <v>57066.879999999997</v>
      </c>
      <c r="AA111" s="188">
        <f>Y111*Z111</f>
        <v>57066.879999999997</v>
      </c>
      <c r="AB111" s="225">
        <v>1</v>
      </c>
      <c r="AC111" s="184">
        <v>140653.12</v>
      </c>
      <c r="AD111" s="185">
        <f>AB111*AC111</f>
        <v>140653.12</v>
      </c>
      <c r="AE111" s="190"/>
      <c r="AF111" s="191"/>
      <c r="AG111" s="191"/>
      <c r="AH111" s="191"/>
      <c r="AI111" s="191"/>
      <c r="AJ111" s="193"/>
      <c r="AK111" s="193"/>
      <c r="AL111" s="193"/>
      <c r="AM111" s="193"/>
      <c r="AN111" s="194"/>
      <c r="AO111" s="195"/>
      <c r="AP111" s="196">
        <f t="shared" si="50"/>
        <v>57066.879999999997</v>
      </c>
      <c r="AQ111" s="196">
        <f t="shared" ref="AQ111:AQ120" si="51">AP111*F111</f>
        <v>57066.879999999997</v>
      </c>
    </row>
    <row r="112" spans="1:43" s="157" customFormat="1" ht="105" customHeight="1">
      <c r="A112" s="179">
        <v>100</v>
      </c>
      <c r="B112" s="182" t="s">
        <v>305</v>
      </c>
      <c r="C112" s="368" t="s">
        <v>306</v>
      </c>
      <c r="D112" s="368"/>
      <c r="E112" s="181" t="s">
        <v>165</v>
      </c>
      <c r="F112" s="182">
        <v>1</v>
      </c>
      <c r="G112" s="225">
        <v>1</v>
      </c>
      <c r="H112" s="226">
        <v>79052.84</v>
      </c>
      <c r="I112" s="227">
        <f>G112*H112</f>
        <v>79052.84</v>
      </c>
      <c r="J112" s="225">
        <v>1</v>
      </c>
      <c r="K112" s="232">
        <v>114365.05</v>
      </c>
      <c r="L112" s="185">
        <f>J112*K112</f>
        <v>114365.05</v>
      </c>
      <c r="M112" s="228">
        <v>1</v>
      </c>
      <c r="N112" s="229">
        <v>68428.800000000003</v>
      </c>
      <c r="O112" s="201">
        <f>M112*N112</f>
        <v>68428.800000000003</v>
      </c>
      <c r="P112" s="225">
        <v>1</v>
      </c>
      <c r="Q112" s="230">
        <v>64637</v>
      </c>
      <c r="R112" s="185">
        <f>P112*Q112</f>
        <v>64637</v>
      </c>
      <c r="S112" s="186">
        <v>1</v>
      </c>
      <c r="T112" s="187">
        <v>89364</v>
      </c>
      <c r="U112" s="188">
        <f>S112*T112</f>
        <v>89364</v>
      </c>
      <c r="V112" s="189">
        <v>1</v>
      </c>
      <c r="W112" s="189">
        <v>56395.88</v>
      </c>
      <c r="X112" s="189">
        <f>V112*W112</f>
        <v>56395.88</v>
      </c>
      <c r="Y112" s="186">
        <v>1</v>
      </c>
      <c r="Z112" s="187">
        <v>44908.7</v>
      </c>
      <c r="AA112" s="188">
        <f>Y112*Z112</f>
        <v>44908.7</v>
      </c>
      <c r="AB112" s="225">
        <v>1</v>
      </c>
      <c r="AC112" s="184">
        <v>105817.3</v>
      </c>
      <c r="AD112" s="185">
        <f>AB112*AC112</f>
        <v>105817.3</v>
      </c>
      <c r="AE112" s="190"/>
      <c r="AF112" s="191"/>
      <c r="AG112" s="191"/>
      <c r="AH112" s="191"/>
      <c r="AI112" s="191"/>
      <c r="AJ112" s="193"/>
      <c r="AK112" s="193"/>
      <c r="AL112" s="193"/>
      <c r="AM112" s="193"/>
      <c r="AN112" s="194"/>
      <c r="AO112" s="195"/>
      <c r="AP112" s="196">
        <f t="shared" si="50"/>
        <v>44908.7</v>
      </c>
      <c r="AQ112" s="196">
        <f t="shared" si="51"/>
        <v>44908.7</v>
      </c>
    </row>
    <row r="113" spans="1:47" s="157" customFormat="1" ht="105" customHeight="1">
      <c r="A113" s="179">
        <v>101</v>
      </c>
      <c r="B113" s="182" t="s">
        <v>307</v>
      </c>
      <c r="C113" s="368" t="s">
        <v>308</v>
      </c>
      <c r="D113" s="368"/>
      <c r="E113" s="181" t="s">
        <v>165</v>
      </c>
      <c r="F113" s="182">
        <v>4</v>
      </c>
      <c r="G113" s="225">
        <v>1</v>
      </c>
      <c r="H113" s="226">
        <v>23630.02</v>
      </c>
      <c r="I113" s="227">
        <f>G113*H113</f>
        <v>23630.02</v>
      </c>
      <c r="J113" s="225">
        <v>1</v>
      </c>
      <c r="K113" s="232">
        <v>30857.56</v>
      </c>
      <c r="L113" s="185">
        <f>J113*K113</f>
        <v>30857.56</v>
      </c>
      <c r="M113" s="228">
        <v>1</v>
      </c>
      <c r="N113" s="229">
        <v>11035.36</v>
      </c>
      <c r="O113" s="201">
        <f>M113*N113</f>
        <v>11035.36</v>
      </c>
      <c r="P113" s="225">
        <v>1</v>
      </c>
      <c r="Q113" s="230">
        <v>13191</v>
      </c>
      <c r="R113" s="185">
        <f>P113*Q113</f>
        <v>13191</v>
      </c>
      <c r="S113" s="186">
        <v>1</v>
      </c>
      <c r="T113" s="187">
        <v>28313</v>
      </c>
      <c r="U113" s="188">
        <f>S113*T113</f>
        <v>28313</v>
      </c>
      <c r="V113" s="189">
        <v>1</v>
      </c>
      <c r="W113" s="189">
        <v>13421.25</v>
      </c>
      <c r="X113" s="189">
        <f>V113*W113</f>
        <v>13421.25</v>
      </c>
      <c r="Y113" s="186">
        <v>1</v>
      </c>
      <c r="Z113" s="187">
        <v>10687.5</v>
      </c>
      <c r="AA113" s="188">
        <f>Y113*Z113</f>
        <v>10687.5</v>
      </c>
      <c r="AB113" s="225">
        <v>1</v>
      </c>
      <c r="AC113" s="184">
        <v>31578.13</v>
      </c>
      <c r="AD113" s="185">
        <f>AB113*AC113</f>
        <v>31578.13</v>
      </c>
      <c r="AE113" s="190"/>
      <c r="AF113" s="191"/>
      <c r="AG113" s="191"/>
      <c r="AH113" s="191"/>
      <c r="AI113" s="191"/>
      <c r="AJ113" s="193"/>
      <c r="AK113" s="193"/>
      <c r="AL113" s="193"/>
      <c r="AM113" s="193"/>
      <c r="AN113" s="194"/>
      <c r="AO113" s="195"/>
      <c r="AP113" s="196">
        <f t="shared" si="50"/>
        <v>10687.5</v>
      </c>
      <c r="AQ113" s="196">
        <f t="shared" si="51"/>
        <v>42750</v>
      </c>
    </row>
    <row r="114" spans="1:47" s="157" customFormat="1" ht="105" customHeight="1">
      <c r="A114" s="179">
        <v>102</v>
      </c>
      <c r="B114" s="182" t="s">
        <v>309</v>
      </c>
      <c r="C114" s="368" t="s">
        <v>310</v>
      </c>
      <c r="D114" s="368"/>
      <c r="E114" s="181" t="s">
        <v>165</v>
      </c>
      <c r="F114" s="182">
        <v>2</v>
      </c>
      <c r="G114" s="358" t="s">
        <v>185</v>
      </c>
      <c r="H114" s="358"/>
      <c r="I114" s="358"/>
      <c r="J114" s="358" t="s">
        <v>185</v>
      </c>
      <c r="K114" s="358"/>
      <c r="L114" s="358"/>
      <c r="M114" s="358" t="s">
        <v>185</v>
      </c>
      <c r="N114" s="358"/>
      <c r="O114" s="358"/>
      <c r="P114" s="358" t="s">
        <v>185</v>
      </c>
      <c r="Q114" s="358"/>
      <c r="R114" s="358"/>
      <c r="S114" s="358" t="s">
        <v>185</v>
      </c>
      <c r="T114" s="358"/>
      <c r="U114" s="358"/>
      <c r="V114" s="358" t="s">
        <v>185</v>
      </c>
      <c r="W114" s="358"/>
      <c r="X114" s="358"/>
      <c r="Y114" s="358" t="s">
        <v>185</v>
      </c>
      <c r="Z114" s="358"/>
      <c r="AA114" s="358"/>
      <c r="AB114" s="358" t="s">
        <v>185</v>
      </c>
      <c r="AC114" s="358"/>
      <c r="AD114" s="358"/>
      <c r="AE114" s="190"/>
      <c r="AF114" s="191"/>
      <c r="AG114" s="191"/>
      <c r="AH114" s="191"/>
      <c r="AI114" s="191"/>
      <c r="AJ114" s="193"/>
      <c r="AK114" s="193"/>
      <c r="AL114" s="193"/>
      <c r="AM114" s="193"/>
      <c r="AN114" s="194"/>
      <c r="AO114" s="195"/>
      <c r="AP114" s="196">
        <f t="shared" si="50"/>
        <v>0</v>
      </c>
      <c r="AQ114" s="196">
        <f t="shared" si="51"/>
        <v>0</v>
      </c>
    </row>
    <row r="115" spans="1:47" s="157" customFormat="1" ht="105" customHeight="1">
      <c r="A115" s="179">
        <v>103</v>
      </c>
      <c r="B115" s="182" t="s">
        <v>311</v>
      </c>
      <c r="C115" s="368" t="s">
        <v>312</v>
      </c>
      <c r="D115" s="368"/>
      <c r="E115" s="181" t="s">
        <v>165</v>
      </c>
      <c r="F115" s="182">
        <v>1</v>
      </c>
      <c r="G115" s="225">
        <v>1</v>
      </c>
      <c r="H115" s="226">
        <v>12037.83</v>
      </c>
      <c r="I115" s="227">
        <f>G115*H115</f>
        <v>12037.83</v>
      </c>
      <c r="J115" s="225">
        <v>1</v>
      </c>
      <c r="K115" s="232">
        <v>14239.88</v>
      </c>
      <c r="L115" s="185">
        <f>J115*K115</f>
        <v>14239.88</v>
      </c>
      <c r="M115" s="228">
        <v>1</v>
      </c>
      <c r="N115" s="229">
        <v>4899.3599999999997</v>
      </c>
      <c r="O115" s="201">
        <f>M115*N115</f>
        <v>4899.3599999999997</v>
      </c>
      <c r="P115" s="225">
        <v>1</v>
      </c>
      <c r="Q115" s="230">
        <v>5863</v>
      </c>
      <c r="R115" s="185">
        <f>P115*Q115</f>
        <v>5863</v>
      </c>
      <c r="S115" s="186">
        <v>1</v>
      </c>
      <c r="T115" s="187">
        <v>16720</v>
      </c>
      <c r="U115" s="188">
        <f>S115*T115</f>
        <v>16720</v>
      </c>
      <c r="V115" s="189">
        <v>1</v>
      </c>
      <c r="W115" s="189">
        <v>5965</v>
      </c>
      <c r="X115" s="189">
        <f>V115*W115</f>
        <v>5965</v>
      </c>
      <c r="Y115" s="186">
        <v>1</v>
      </c>
      <c r="Z115" s="187">
        <v>4750</v>
      </c>
      <c r="AA115" s="188">
        <f>Y115*Z115</f>
        <v>4750</v>
      </c>
      <c r="AB115" s="225">
        <v>1</v>
      </c>
      <c r="AC115" s="184">
        <v>15250</v>
      </c>
      <c r="AD115" s="185">
        <f>AB115*AC115</f>
        <v>15250</v>
      </c>
      <c r="AE115" s="190"/>
      <c r="AF115" s="191"/>
      <c r="AG115" s="191"/>
      <c r="AH115" s="191"/>
      <c r="AI115" s="191"/>
      <c r="AJ115" s="193"/>
      <c r="AK115" s="193"/>
      <c r="AL115" s="193"/>
      <c r="AM115" s="193"/>
      <c r="AN115" s="194"/>
      <c r="AO115" s="195"/>
      <c r="AP115" s="196">
        <f t="shared" si="50"/>
        <v>4750</v>
      </c>
      <c r="AQ115" s="196">
        <f t="shared" si="51"/>
        <v>4750</v>
      </c>
    </row>
    <row r="116" spans="1:47" s="157" customFormat="1" ht="105" customHeight="1">
      <c r="A116" s="179">
        <v>104</v>
      </c>
      <c r="B116" s="182" t="s">
        <v>313</v>
      </c>
      <c r="C116" s="368" t="s">
        <v>314</v>
      </c>
      <c r="D116" s="368"/>
      <c r="E116" s="181" t="s">
        <v>165</v>
      </c>
      <c r="F116" s="182">
        <v>1</v>
      </c>
      <c r="G116" s="225">
        <v>1</v>
      </c>
      <c r="H116" s="226">
        <v>12829.06</v>
      </c>
      <c r="I116" s="227">
        <f>G116*H116</f>
        <v>12829.06</v>
      </c>
      <c r="J116" s="225">
        <v>1</v>
      </c>
      <c r="K116" s="232">
        <v>15357.56</v>
      </c>
      <c r="L116" s="185">
        <f>J116*K116</f>
        <v>15357.56</v>
      </c>
      <c r="M116" s="228">
        <v>1</v>
      </c>
      <c r="N116" s="229">
        <v>5881.12</v>
      </c>
      <c r="O116" s="201">
        <f>M116*N116</f>
        <v>5881.12</v>
      </c>
      <c r="P116" s="225">
        <v>1</v>
      </c>
      <c r="Q116" s="230">
        <v>7035</v>
      </c>
      <c r="R116" s="185">
        <f>P116*Q116</f>
        <v>7035</v>
      </c>
      <c r="S116" s="186">
        <v>1</v>
      </c>
      <c r="T116" s="187">
        <v>18229</v>
      </c>
      <c r="U116" s="188">
        <f>S116*T116</f>
        <v>18229</v>
      </c>
      <c r="V116" s="189">
        <v>1</v>
      </c>
      <c r="W116" s="189">
        <v>7158</v>
      </c>
      <c r="X116" s="189">
        <f>V116*W116</f>
        <v>7158</v>
      </c>
      <c r="Y116" s="186">
        <v>1</v>
      </c>
      <c r="Z116" s="187">
        <v>5700</v>
      </c>
      <c r="AA116" s="188">
        <f>Y116*Z116</f>
        <v>5700</v>
      </c>
      <c r="AB116" s="225">
        <v>1</v>
      </c>
      <c r="AC116" s="184">
        <v>24532</v>
      </c>
      <c r="AD116" s="185">
        <f>AB116*AC116</f>
        <v>24532</v>
      </c>
      <c r="AE116" s="190"/>
      <c r="AF116" s="191"/>
      <c r="AG116" s="191"/>
      <c r="AH116" s="191"/>
      <c r="AI116" s="191"/>
      <c r="AJ116" s="193"/>
      <c r="AK116" s="193"/>
      <c r="AL116" s="193"/>
      <c r="AM116" s="193"/>
      <c r="AN116" s="194"/>
      <c r="AO116" s="195"/>
      <c r="AP116" s="196">
        <f t="shared" si="50"/>
        <v>5700</v>
      </c>
      <c r="AQ116" s="196">
        <f t="shared" si="51"/>
        <v>5700</v>
      </c>
    </row>
    <row r="117" spans="1:47" s="157" customFormat="1" ht="105" customHeight="1">
      <c r="A117" s="179">
        <v>105</v>
      </c>
      <c r="B117" s="182" t="s">
        <v>315</v>
      </c>
      <c r="C117" s="368" t="s">
        <v>316</v>
      </c>
      <c r="D117" s="368"/>
      <c r="E117" s="181" t="s">
        <v>165</v>
      </c>
      <c r="F117" s="182">
        <v>1</v>
      </c>
      <c r="G117" s="358" t="s">
        <v>185</v>
      </c>
      <c r="H117" s="358"/>
      <c r="I117" s="358"/>
      <c r="J117" s="358" t="s">
        <v>185</v>
      </c>
      <c r="K117" s="358"/>
      <c r="L117" s="358"/>
      <c r="M117" s="358" t="s">
        <v>185</v>
      </c>
      <c r="N117" s="358"/>
      <c r="O117" s="358"/>
      <c r="P117" s="358" t="s">
        <v>185</v>
      </c>
      <c r="Q117" s="358"/>
      <c r="R117" s="358"/>
      <c r="S117" s="358" t="s">
        <v>185</v>
      </c>
      <c r="T117" s="358"/>
      <c r="U117" s="358"/>
      <c r="V117" s="358" t="s">
        <v>185</v>
      </c>
      <c r="W117" s="358"/>
      <c r="X117" s="358"/>
      <c r="Y117" s="358" t="s">
        <v>185</v>
      </c>
      <c r="Z117" s="358"/>
      <c r="AA117" s="358"/>
      <c r="AB117" s="358" t="s">
        <v>185</v>
      </c>
      <c r="AC117" s="358"/>
      <c r="AD117" s="358"/>
      <c r="AE117" s="190"/>
      <c r="AF117" s="191"/>
      <c r="AG117" s="191"/>
      <c r="AH117" s="191"/>
      <c r="AI117" s="191">
        <f>AG117-AH117</f>
        <v>0</v>
      </c>
      <c r="AJ117" s="193"/>
      <c r="AK117" s="193"/>
      <c r="AL117" s="193"/>
      <c r="AM117" s="193"/>
      <c r="AN117" s="194"/>
      <c r="AO117" s="195"/>
      <c r="AP117" s="196">
        <f t="shared" si="50"/>
        <v>0</v>
      </c>
      <c r="AQ117" s="196">
        <f t="shared" si="51"/>
        <v>0</v>
      </c>
    </row>
    <row r="118" spans="1:47" s="157" customFormat="1" ht="105" hidden="1" customHeight="1">
      <c r="A118" s="179">
        <v>106</v>
      </c>
      <c r="B118" s="233"/>
      <c r="C118" s="369"/>
      <c r="D118" s="369"/>
      <c r="E118" s="181"/>
      <c r="F118" s="234"/>
      <c r="G118" s="235"/>
      <c r="H118" s="236">
        <v>0</v>
      </c>
      <c r="I118" s="237"/>
      <c r="J118" s="235"/>
      <c r="K118" s="236"/>
      <c r="L118" s="185">
        <f>J118*K118</f>
        <v>0</v>
      </c>
      <c r="M118" s="235"/>
      <c r="N118" s="238"/>
      <c r="O118" s="188"/>
      <c r="P118" s="235"/>
      <c r="Q118" s="236"/>
      <c r="R118" s="185">
        <f>P118*Q118</f>
        <v>0</v>
      </c>
      <c r="S118" s="186"/>
      <c r="T118" s="187"/>
      <c r="U118" s="188"/>
      <c r="V118" s="189"/>
      <c r="W118" s="189"/>
      <c r="X118" s="189"/>
      <c r="Y118" s="186"/>
      <c r="Z118" s="187"/>
      <c r="AA118" s="188"/>
      <c r="AB118" s="186"/>
      <c r="AC118" s="187"/>
      <c r="AD118" s="187"/>
      <c r="AE118" s="190"/>
      <c r="AF118" s="191"/>
      <c r="AG118" s="191"/>
      <c r="AH118" s="191"/>
      <c r="AI118" s="191">
        <f>AG118-AH118</f>
        <v>0</v>
      </c>
      <c r="AJ118" s="193"/>
      <c r="AK118" s="193"/>
      <c r="AL118" s="193"/>
      <c r="AM118" s="193"/>
      <c r="AN118" s="194"/>
      <c r="AO118" s="195"/>
      <c r="AP118" s="196">
        <f t="shared" si="50"/>
        <v>0</v>
      </c>
      <c r="AQ118" s="196">
        <f t="shared" si="51"/>
        <v>0</v>
      </c>
    </row>
    <row r="119" spans="1:47" s="157" customFormat="1" ht="105" hidden="1" customHeight="1">
      <c r="A119" s="179">
        <v>107</v>
      </c>
      <c r="B119" s="233"/>
      <c r="C119" s="369"/>
      <c r="D119" s="369"/>
      <c r="E119" s="181"/>
      <c r="F119" s="234"/>
      <c r="G119" s="235"/>
      <c r="H119" s="236">
        <v>0</v>
      </c>
      <c r="I119" s="237"/>
      <c r="J119" s="235"/>
      <c r="K119" s="236"/>
      <c r="L119" s="185">
        <f>J119*K119</f>
        <v>0</v>
      </c>
      <c r="M119" s="235"/>
      <c r="N119" s="238"/>
      <c r="O119" s="188"/>
      <c r="P119" s="235"/>
      <c r="Q119" s="236"/>
      <c r="R119" s="185">
        <f>P119*Q119</f>
        <v>0</v>
      </c>
      <c r="S119" s="186"/>
      <c r="T119" s="187"/>
      <c r="U119" s="188"/>
      <c r="V119" s="189"/>
      <c r="W119" s="189"/>
      <c r="X119" s="189"/>
      <c r="Y119" s="186"/>
      <c r="Z119" s="187"/>
      <c r="AA119" s="188"/>
      <c r="AB119" s="186"/>
      <c r="AC119" s="187"/>
      <c r="AD119" s="187"/>
      <c r="AE119" s="190"/>
      <c r="AF119" s="191"/>
      <c r="AG119" s="191"/>
      <c r="AH119" s="191"/>
      <c r="AI119" s="191">
        <f>AG119-AH119</f>
        <v>0</v>
      </c>
      <c r="AJ119" s="193"/>
      <c r="AK119" s="193"/>
      <c r="AL119" s="193"/>
      <c r="AM119" s="193"/>
      <c r="AN119" s="194"/>
      <c r="AO119" s="195"/>
      <c r="AP119" s="196">
        <f t="shared" si="50"/>
        <v>0</v>
      </c>
      <c r="AQ119" s="196">
        <f t="shared" si="51"/>
        <v>0</v>
      </c>
    </row>
    <row r="120" spans="1:47" s="157" customFormat="1" ht="105" hidden="1" customHeight="1">
      <c r="A120" s="179">
        <v>108</v>
      </c>
      <c r="B120" s="233"/>
      <c r="C120" s="369"/>
      <c r="D120" s="369"/>
      <c r="E120" s="181"/>
      <c r="F120" s="234"/>
      <c r="G120" s="235"/>
      <c r="H120" s="236">
        <v>0</v>
      </c>
      <c r="I120" s="237"/>
      <c r="J120" s="235"/>
      <c r="K120" s="236"/>
      <c r="L120" s="185">
        <f>J120*K120</f>
        <v>0</v>
      </c>
      <c r="M120" s="235"/>
      <c r="N120" s="238"/>
      <c r="O120" s="188"/>
      <c r="P120" s="235"/>
      <c r="Q120" s="236"/>
      <c r="R120" s="185">
        <f>P120*Q120</f>
        <v>0</v>
      </c>
      <c r="S120" s="186"/>
      <c r="T120" s="187"/>
      <c r="U120" s="188"/>
      <c r="V120" s="189"/>
      <c r="W120" s="189"/>
      <c r="X120" s="189"/>
      <c r="Y120" s="186"/>
      <c r="Z120" s="187"/>
      <c r="AA120" s="188"/>
      <c r="AB120" s="186"/>
      <c r="AC120" s="187"/>
      <c r="AD120" s="187"/>
      <c r="AE120" s="190"/>
      <c r="AF120" s="191"/>
      <c r="AG120" s="191"/>
      <c r="AH120" s="191"/>
      <c r="AI120" s="191">
        <f>AG120-AH120</f>
        <v>0</v>
      </c>
      <c r="AJ120" s="193"/>
      <c r="AK120" s="193"/>
      <c r="AL120" s="193"/>
      <c r="AM120" s="193"/>
      <c r="AN120" s="194"/>
      <c r="AO120" s="195"/>
      <c r="AP120" s="196">
        <f t="shared" si="50"/>
        <v>0</v>
      </c>
      <c r="AQ120" s="196">
        <f t="shared" si="51"/>
        <v>0</v>
      </c>
    </row>
    <row r="121" spans="1:47" s="157" customFormat="1" ht="46.5" customHeight="1">
      <c r="A121" s="370" t="s">
        <v>63</v>
      </c>
      <c r="B121" s="370"/>
      <c r="C121" s="370"/>
      <c r="D121" s="370"/>
      <c r="E121" s="370"/>
      <c r="F121" s="371" t="s">
        <v>317</v>
      </c>
      <c r="G121" s="372">
        <f>SUM(I13:I120)</f>
        <v>7834409.7199999997</v>
      </c>
      <c r="H121" s="372"/>
      <c r="I121" s="372"/>
      <c r="J121" s="372">
        <f>SUM(L13:L120)</f>
        <v>6082038.6200000001</v>
      </c>
      <c r="K121" s="372"/>
      <c r="L121" s="372"/>
      <c r="M121" s="372">
        <f>SUM(O13:O120)</f>
        <v>5159085.6000000015</v>
      </c>
      <c r="N121" s="372"/>
      <c r="O121" s="372"/>
      <c r="P121" s="372">
        <f>SUM(R13:R120)</f>
        <v>5943773</v>
      </c>
      <c r="Q121" s="372"/>
      <c r="R121" s="372"/>
      <c r="S121" s="372">
        <f>SUM(U13:U120)</f>
        <v>7111062</v>
      </c>
      <c r="T121" s="372"/>
      <c r="U121" s="372"/>
      <c r="V121" s="372">
        <f>SUM(X13:X120)</f>
        <v>7541784.5600000005</v>
      </c>
      <c r="W121" s="372"/>
      <c r="X121" s="372"/>
      <c r="Y121" s="372">
        <f>SUM(AA13:AA120)</f>
        <v>5037771.5600000015</v>
      </c>
      <c r="Z121" s="372"/>
      <c r="AA121" s="372"/>
      <c r="AB121" s="372">
        <f>SUM(AD13:AD120)</f>
        <v>9560885.9300000016</v>
      </c>
      <c r="AC121" s="372"/>
      <c r="AD121" s="372"/>
      <c r="AE121" s="373" t="s">
        <v>65</v>
      </c>
      <c r="AF121" s="373"/>
      <c r="AG121" s="373"/>
      <c r="AH121" s="373"/>
      <c r="AI121" s="373"/>
      <c r="AJ121" s="373"/>
      <c r="AK121" s="373"/>
      <c r="AL121" s="373"/>
      <c r="AM121" s="373"/>
      <c r="AN121" s="374">
        <v>3111</v>
      </c>
      <c r="AO121" s="374"/>
      <c r="AP121" s="375">
        <f>SUM(AG13:AG120)</f>
        <v>6185103.2355776653</v>
      </c>
      <c r="AQ121" s="375"/>
    </row>
    <row r="122" spans="1:47" s="157" customFormat="1" ht="26.25" customHeight="1">
      <c r="A122" s="240" t="s">
        <v>44</v>
      </c>
      <c r="B122" s="239" t="s">
        <v>66</v>
      </c>
      <c r="C122" s="239" t="s">
        <v>67</v>
      </c>
      <c r="D122" s="376" t="s">
        <v>68</v>
      </c>
      <c r="E122" s="376"/>
      <c r="F122" s="371"/>
      <c r="G122" s="372"/>
      <c r="H122" s="372"/>
      <c r="I122" s="372"/>
      <c r="J122" s="372"/>
      <c r="K122" s="372"/>
      <c r="L122" s="372"/>
      <c r="M122" s="372"/>
      <c r="N122" s="372"/>
      <c r="O122" s="372"/>
      <c r="P122" s="372"/>
      <c r="Q122" s="372"/>
      <c r="R122" s="372"/>
      <c r="S122" s="372"/>
      <c r="T122" s="372"/>
      <c r="U122" s="372"/>
      <c r="V122" s="372"/>
      <c r="W122" s="372"/>
      <c r="X122" s="372"/>
      <c r="Y122" s="372"/>
      <c r="Z122" s="372"/>
      <c r="AA122" s="372"/>
      <c r="AB122" s="372"/>
      <c r="AC122" s="372"/>
      <c r="AD122" s="372"/>
      <c r="AE122" s="373"/>
      <c r="AF122" s="373"/>
      <c r="AG122" s="373"/>
      <c r="AH122" s="373"/>
      <c r="AI122" s="373"/>
      <c r="AJ122" s="373"/>
      <c r="AK122" s="373"/>
      <c r="AL122" s="373"/>
      <c r="AM122" s="373"/>
      <c r="AN122" s="374"/>
      <c r="AO122" s="374"/>
      <c r="AP122" s="375"/>
      <c r="AQ122" s="375"/>
      <c r="AS122" s="377"/>
      <c r="AT122" s="377"/>
    </row>
    <row r="123" spans="1:47" s="157" customFormat="1" ht="38.25" customHeight="1">
      <c r="A123" s="241" t="s">
        <v>70</v>
      </c>
      <c r="B123" s="242">
        <f>MIN($M$121:$O$121)*C123</f>
        <v>0</v>
      </c>
      <c r="C123" s="243"/>
      <c r="D123" s="378" t="str">
        <f>N6</f>
        <v>LJ ALUMÍNIO</v>
      </c>
      <c r="E123" s="378"/>
      <c r="F123" s="379" t="s">
        <v>318</v>
      </c>
      <c r="G123" s="380">
        <v>8402590</v>
      </c>
      <c r="H123" s="380"/>
      <c r="I123" s="380"/>
      <c r="J123" s="380">
        <v>6175354.1699999999</v>
      </c>
      <c r="K123" s="380"/>
      <c r="L123" s="380"/>
      <c r="M123" s="380">
        <v>6771586.6100000003</v>
      </c>
      <c r="N123" s="380"/>
      <c r="O123" s="380"/>
      <c r="P123" s="380">
        <v>6971094</v>
      </c>
      <c r="Q123" s="380"/>
      <c r="R123" s="380"/>
      <c r="S123" s="380">
        <v>8825989</v>
      </c>
      <c r="T123" s="380"/>
      <c r="U123" s="380"/>
      <c r="V123" s="380">
        <v>7782614.8200000003</v>
      </c>
      <c r="W123" s="380"/>
      <c r="X123" s="380"/>
      <c r="Y123" s="380">
        <v>5259695.45</v>
      </c>
      <c r="Z123" s="380"/>
      <c r="AA123" s="380"/>
      <c r="AB123" s="380">
        <v>10016606.720000001</v>
      </c>
      <c r="AC123" s="380"/>
      <c r="AD123" s="380"/>
      <c r="AE123" s="373"/>
      <c r="AF123" s="373"/>
      <c r="AG123" s="373"/>
      <c r="AH123" s="373"/>
      <c r="AI123" s="373"/>
      <c r="AJ123" s="373"/>
      <c r="AK123" s="373"/>
      <c r="AL123" s="373"/>
      <c r="AM123" s="373"/>
      <c r="AN123" s="374"/>
      <c r="AO123" s="374"/>
      <c r="AP123" s="375"/>
      <c r="AQ123" s="375"/>
      <c r="AS123" s="377"/>
      <c r="AT123" s="377"/>
    </row>
    <row r="124" spans="1:47" s="247" customFormat="1" ht="38.25" customHeight="1">
      <c r="A124" s="244" t="s">
        <v>73</v>
      </c>
      <c r="B124" s="242">
        <f>MIN($J$123)*C124</f>
        <v>0</v>
      </c>
      <c r="C124" s="245"/>
      <c r="D124" s="378"/>
      <c r="E124" s="378"/>
      <c r="F124" s="379"/>
      <c r="G124" s="380"/>
      <c r="H124" s="380"/>
      <c r="I124" s="380"/>
      <c r="J124" s="380"/>
      <c r="K124" s="380"/>
      <c r="L124" s="380"/>
      <c r="M124" s="380"/>
      <c r="N124" s="380"/>
      <c r="O124" s="380"/>
      <c r="P124" s="380"/>
      <c r="Q124" s="380"/>
      <c r="R124" s="380"/>
      <c r="S124" s="380"/>
      <c r="T124" s="380"/>
      <c r="U124" s="380"/>
      <c r="V124" s="380"/>
      <c r="W124" s="380"/>
      <c r="X124" s="380"/>
      <c r="Y124" s="380"/>
      <c r="Z124" s="380"/>
      <c r="AA124" s="380"/>
      <c r="AB124" s="380"/>
      <c r="AC124" s="380"/>
      <c r="AD124" s="380"/>
      <c r="AE124" s="381" t="s">
        <v>74</v>
      </c>
      <c r="AF124" s="381"/>
      <c r="AG124" s="381"/>
      <c r="AH124" s="382" t="s">
        <v>76</v>
      </c>
      <c r="AI124" s="382"/>
      <c r="AJ124" s="246"/>
      <c r="AK124" s="246"/>
      <c r="AL124" s="246"/>
      <c r="AM124" s="246"/>
      <c r="AN124" s="246"/>
      <c r="AO124" s="246"/>
      <c r="AP124" s="383">
        <f>AP121*(1+AG127)</f>
        <v>6511026.9867196474</v>
      </c>
      <c r="AQ124" s="383"/>
      <c r="AS124" s="384"/>
      <c r="AT124" s="384"/>
    </row>
    <row r="125" spans="1:47" s="157" customFormat="1" ht="38.25" customHeight="1">
      <c r="A125" s="244" t="s">
        <v>77</v>
      </c>
      <c r="B125" s="242">
        <f>MIN($M$121:$O$121)*C125</f>
        <v>0</v>
      </c>
      <c r="C125" s="248"/>
      <c r="D125" s="378"/>
      <c r="E125" s="378"/>
      <c r="F125" s="249" t="s">
        <v>319</v>
      </c>
      <c r="G125" s="385"/>
      <c r="H125" s="385"/>
      <c r="I125" s="385"/>
      <c r="J125" s="385"/>
      <c r="K125" s="385"/>
      <c r="L125" s="385"/>
      <c r="M125" s="385"/>
      <c r="N125" s="385"/>
      <c r="O125" s="385"/>
      <c r="P125" s="385"/>
      <c r="Q125" s="385"/>
      <c r="R125" s="385"/>
      <c r="S125" s="385"/>
      <c r="T125" s="385"/>
      <c r="U125" s="385"/>
      <c r="V125" s="385"/>
      <c r="W125" s="385"/>
      <c r="X125" s="385"/>
      <c r="Y125" s="385"/>
      <c r="Z125" s="385"/>
      <c r="AA125" s="385"/>
      <c r="AB125" s="385"/>
      <c r="AC125" s="385"/>
      <c r="AD125" s="385"/>
      <c r="AE125" s="250" t="s">
        <v>93</v>
      </c>
      <c r="AF125" s="251">
        <v>45717</v>
      </c>
      <c r="AG125" s="252">
        <v>1178.386</v>
      </c>
      <c r="AH125" s="382"/>
      <c r="AI125" s="382"/>
      <c r="AJ125" s="246"/>
      <c r="AK125" s="246"/>
      <c r="AL125" s="246"/>
      <c r="AM125" s="246"/>
      <c r="AN125" s="246"/>
      <c r="AO125" s="246"/>
      <c r="AP125" s="383"/>
      <c r="AQ125" s="383"/>
      <c r="AS125" s="377"/>
      <c r="AT125" s="377"/>
    </row>
    <row r="126" spans="1:47" s="157" customFormat="1" ht="164.25" customHeight="1">
      <c r="A126" s="253" t="s">
        <v>80</v>
      </c>
      <c r="B126" s="242">
        <f>MIN($M$121:$O$121)*C126</f>
        <v>0</v>
      </c>
      <c r="C126" s="248"/>
      <c r="D126" s="378"/>
      <c r="E126" s="378"/>
      <c r="F126" s="249" t="s">
        <v>320</v>
      </c>
      <c r="G126" s="386" t="s">
        <v>321</v>
      </c>
      <c r="H126" s="386"/>
      <c r="I126" s="386"/>
      <c r="J126" s="385" t="s">
        <v>322</v>
      </c>
      <c r="K126" s="385"/>
      <c r="L126" s="385"/>
      <c r="M126" s="385" t="s">
        <v>322</v>
      </c>
      <c r="N126" s="385"/>
      <c r="O126" s="385"/>
      <c r="P126" s="386" t="s">
        <v>323</v>
      </c>
      <c r="Q126" s="386"/>
      <c r="R126" s="386"/>
      <c r="S126" s="385" t="s">
        <v>324</v>
      </c>
      <c r="T126" s="385"/>
      <c r="U126" s="385"/>
      <c r="V126" s="385" t="s">
        <v>324</v>
      </c>
      <c r="W126" s="385"/>
      <c r="X126" s="385"/>
      <c r="Y126" s="385" t="s">
        <v>324</v>
      </c>
      <c r="Z126" s="385"/>
      <c r="AA126" s="385"/>
      <c r="AB126" s="385" t="s">
        <v>324</v>
      </c>
      <c r="AC126" s="385"/>
      <c r="AD126" s="385"/>
      <c r="AE126" s="254" t="s">
        <v>325</v>
      </c>
      <c r="AF126" s="255">
        <v>46055</v>
      </c>
      <c r="AG126" s="256">
        <v>1240.481</v>
      </c>
      <c r="AH126" s="382"/>
      <c r="AI126" s="382"/>
      <c r="AJ126" s="246"/>
      <c r="AK126" s="246"/>
      <c r="AL126" s="246"/>
      <c r="AM126" s="246"/>
      <c r="AN126" s="246"/>
      <c r="AO126" s="246"/>
      <c r="AP126" s="383"/>
      <c r="AQ126" s="383"/>
    </row>
    <row r="127" spans="1:47" s="157" customFormat="1" ht="129" customHeight="1">
      <c r="A127" s="257" t="s">
        <v>19</v>
      </c>
      <c r="B127" s="258">
        <f>SUM(B123:B126)</f>
        <v>0</v>
      </c>
      <c r="D127" s="378"/>
      <c r="E127" s="378"/>
      <c r="F127" s="249" t="s">
        <v>85</v>
      </c>
      <c r="G127" s="386" t="s">
        <v>326</v>
      </c>
      <c r="H127" s="386"/>
      <c r="I127" s="386"/>
      <c r="J127" s="386" t="s">
        <v>327</v>
      </c>
      <c r="K127" s="386"/>
      <c r="L127" s="386"/>
      <c r="M127" s="386" t="s">
        <v>328</v>
      </c>
      <c r="N127" s="386"/>
      <c r="O127" s="386"/>
      <c r="P127" s="386" t="s">
        <v>329</v>
      </c>
      <c r="Q127" s="386"/>
      <c r="R127" s="386"/>
      <c r="S127" s="385"/>
      <c r="T127" s="385"/>
      <c r="U127" s="385"/>
      <c r="V127" s="385"/>
      <c r="W127" s="385"/>
      <c r="X127" s="385"/>
      <c r="Y127" s="385"/>
      <c r="Z127" s="385"/>
      <c r="AA127" s="385"/>
      <c r="AB127" s="386" t="s">
        <v>330</v>
      </c>
      <c r="AC127" s="386"/>
      <c r="AD127" s="386"/>
      <c r="AE127" s="387" t="s">
        <v>84</v>
      </c>
      <c r="AF127" s="387"/>
      <c r="AG127" s="259">
        <f>(AG126/AG125)-1</f>
        <v>5.2694957339954884E-2</v>
      </c>
      <c r="AH127" s="382"/>
      <c r="AI127" s="382"/>
      <c r="AJ127" s="246"/>
      <c r="AK127" s="246"/>
      <c r="AL127" s="246"/>
      <c r="AM127" s="246"/>
      <c r="AN127" s="246"/>
      <c r="AO127" s="246"/>
      <c r="AP127" s="383"/>
      <c r="AQ127" s="383"/>
      <c r="AR127" s="122"/>
      <c r="AS127" s="122"/>
      <c r="AT127" s="122"/>
      <c r="AU127" s="122"/>
    </row>
    <row r="128" spans="1:47" s="157" customFormat="1" ht="141" customHeight="1">
      <c r="A128" s="260"/>
      <c r="B128" s="79"/>
      <c r="C128" s="99"/>
      <c r="D128" s="261"/>
      <c r="E128" s="261"/>
      <c r="F128" s="249" t="s">
        <v>331</v>
      </c>
      <c r="G128" s="386" t="s">
        <v>332</v>
      </c>
      <c r="H128" s="386"/>
      <c r="I128" s="386"/>
      <c r="J128" s="385" t="s">
        <v>322</v>
      </c>
      <c r="K128" s="385"/>
      <c r="L128" s="385"/>
      <c r="M128" s="385" t="s">
        <v>322</v>
      </c>
      <c r="N128" s="385"/>
      <c r="O128" s="385"/>
      <c r="P128" s="385" t="s">
        <v>322</v>
      </c>
      <c r="Q128" s="385"/>
      <c r="R128" s="385"/>
      <c r="S128" s="385" t="s">
        <v>322</v>
      </c>
      <c r="T128" s="385"/>
      <c r="U128" s="385"/>
      <c r="V128" s="385" t="s">
        <v>322</v>
      </c>
      <c r="W128" s="385"/>
      <c r="X128" s="385"/>
      <c r="Y128" s="385" t="s">
        <v>322</v>
      </c>
      <c r="Z128" s="385"/>
      <c r="AA128" s="385"/>
      <c r="AB128" s="385" t="s">
        <v>322</v>
      </c>
      <c r="AC128" s="385"/>
      <c r="AD128" s="385"/>
      <c r="AE128" s="388" t="s">
        <v>333</v>
      </c>
      <c r="AF128" s="388"/>
      <c r="AG128" s="388"/>
      <c r="AH128" s="388"/>
      <c r="AI128" s="388"/>
      <c r="AJ128" s="262"/>
      <c r="AK128" s="262"/>
      <c r="AL128" s="262"/>
      <c r="AM128" s="263"/>
      <c r="AN128" s="383">
        <v>254.824458115509</v>
      </c>
      <c r="AO128" s="383"/>
      <c r="AP128" s="383">
        <f>AP124-SUM(AH13:AH120)</f>
        <v>6511026.9867196474</v>
      </c>
      <c r="AQ128" s="383"/>
      <c r="AR128" s="122"/>
      <c r="AS128" s="122"/>
      <c r="AT128" s="122"/>
      <c r="AU128" s="122"/>
    </row>
    <row r="129" spans="1:43" ht="39.75" customHeight="1">
      <c r="A129" s="264"/>
      <c r="B129" s="265"/>
      <c r="C129" s="266"/>
      <c r="D129" s="267"/>
      <c r="E129" s="267"/>
      <c r="F129" s="249" t="s">
        <v>334</v>
      </c>
      <c r="G129" s="389">
        <v>46201</v>
      </c>
      <c r="H129" s="389"/>
      <c r="I129" s="389"/>
      <c r="J129" s="389">
        <v>46201</v>
      </c>
      <c r="K129" s="389"/>
      <c r="L129" s="389"/>
      <c r="M129" s="389">
        <v>46201</v>
      </c>
      <c r="N129" s="389"/>
      <c r="O129" s="389"/>
      <c r="P129" s="389">
        <v>46201</v>
      </c>
      <c r="Q129" s="389"/>
      <c r="R129" s="389"/>
      <c r="S129" s="389">
        <v>46201</v>
      </c>
      <c r="T129" s="389"/>
      <c r="U129" s="389"/>
      <c r="V129" s="389">
        <v>46201</v>
      </c>
      <c r="W129" s="389"/>
      <c r="X129" s="389"/>
      <c r="Y129" s="389">
        <v>46201</v>
      </c>
      <c r="Z129" s="389"/>
      <c r="AA129" s="389"/>
      <c r="AB129" s="389">
        <v>46201</v>
      </c>
      <c r="AC129" s="389"/>
      <c r="AD129" s="389"/>
      <c r="AE129" s="268"/>
      <c r="AF129" s="268"/>
      <c r="AG129" s="268"/>
      <c r="AH129" s="268"/>
      <c r="AI129" s="268"/>
      <c r="AJ129" s="268"/>
      <c r="AK129" s="268"/>
      <c r="AL129" s="268"/>
      <c r="AM129" s="268"/>
      <c r="AN129" s="268"/>
      <c r="AO129" s="268"/>
      <c r="AP129" s="268"/>
      <c r="AQ129" s="269"/>
    </row>
    <row r="130" spans="1:43" ht="39.75" customHeight="1">
      <c r="A130" s="270"/>
      <c r="B130" s="121"/>
      <c r="C130" s="271"/>
      <c r="D130" s="271"/>
      <c r="E130" s="271"/>
      <c r="F130" s="249" t="s">
        <v>90</v>
      </c>
      <c r="G130" s="385"/>
      <c r="H130" s="385"/>
      <c r="I130" s="385"/>
      <c r="J130" s="385"/>
      <c r="K130" s="385"/>
      <c r="L130" s="385"/>
      <c r="M130" s="385"/>
      <c r="N130" s="385"/>
      <c r="O130" s="385"/>
      <c r="P130" s="385"/>
      <c r="Q130" s="385"/>
      <c r="R130" s="385"/>
      <c r="S130" s="385"/>
      <c r="T130" s="385"/>
      <c r="U130" s="385"/>
      <c r="V130" s="385"/>
      <c r="W130" s="385"/>
      <c r="X130" s="385"/>
      <c r="Y130" s="385"/>
      <c r="Z130" s="385"/>
      <c r="AA130" s="385"/>
      <c r="AB130" s="385"/>
      <c r="AC130" s="385"/>
      <c r="AD130" s="385"/>
      <c r="AE130" s="268"/>
      <c r="AF130" s="268"/>
      <c r="AG130" s="268"/>
      <c r="AH130" s="268"/>
      <c r="AI130" s="268"/>
      <c r="AJ130" s="268"/>
      <c r="AK130" s="268"/>
      <c r="AL130" s="268"/>
      <c r="AM130" s="268"/>
      <c r="AN130" s="268"/>
      <c r="AO130" s="268"/>
      <c r="AP130" s="268"/>
      <c r="AQ130" s="269"/>
    </row>
    <row r="131" spans="1:43" ht="33" customHeight="1">
      <c r="A131" s="272"/>
      <c r="B131" s="271"/>
      <c r="C131" s="273"/>
      <c r="D131" s="274"/>
      <c r="E131" s="274"/>
      <c r="F131" s="249" t="s">
        <v>92</v>
      </c>
      <c r="G131" s="389" t="s">
        <v>335</v>
      </c>
      <c r="H131" s="389"/>
      <c r="I131" s="389"/>
      <c r="J131" s="389" t="s">
        <v>335</v>
      </c>
      <c r="K131" s="389"/>
      <c r="L131" s="389"/>
      <c r="M131" s="389"/>
      <c r="N131" s="389"/>
      <c r="O131" s="389"/>
      <c r="P131" s="389" t="s">
        <v>336</v>
      </c>
      <c r="Q131" s="389"/>
      <c r="R131" s="389"/>
      <c r="S131" s="389" t="s">
        <v>337</v>
      </c>
      <c r="T131" s="389"/>
      <c r="U131" s="389"/>
      <c r="V131" s="389" t="s">
        <v>337</v>
      </c>
      <c r="W131" s="389"/>
      <c r="X131" s="389"/>
      <c r="Y131" s="389"/>
      <c r="Z131" s="389"/>
      <c r="AA131" s="389"/>
      <c r="AB131" s="389"/>
      <c r="AC131" s="389"/>
      <c r="AD131" s="389"/>
      <c r="AE131" s="268"/>
      <c r="AF131" s="268"/>
      <c r="AG131" s="268"/>
      <c r="AH131" s="268"/>
      <c r="AI131" s="268"/>
      <c r="AJ131" s="268"/>
      <c r="AK131" s="268"/>
      <c r="AL131" s="268"/>
      <c r="AM131" s="268"/>
      <c r="AN131" s="268"/>
      <c r="AO131" s="268"/>
      <c r="AP131" s="268"/>
      <c r="AQ131" s="269"/>
    </row>
    <row r="132" spans="1:43" ht="39.75" customHeight="1">
      <c r="A132" s="272"/>
      <c r="B132" s="271"/>
      <c r="C132" s="273"/>
      <c r="D132" s="274"/>
      <c r="E132" s="274"/>
      <c r="F132" s="249" t="s">
        <v>95</v>
      </c>
      <c r="G132" s="385"/>
      <c r="H132" s="385"/>
      <c r="I132" s="385"/>
      <c r="J132" s="385"/>
      <c r="K132" s="385"/>
      <c r="L132" s="385"/>
      <c r="M132" s="385"/>
      <c r="N132" s="385"/>
      <c r="O132" s="385"/>
      <c r="P132" s="385"/>
      <c r="Q132" s="385"/>
      <c r="R132" s="385"/>
      <c r="S132" s="385"/>
      <c r="T132" s="385"/>
      <c r="U132" s="385"/>
      <c r="V132" s="385"/>
      <c r="W132" s="385"/>
      <c r="X132" s="385"/>
      <c r="Y132" s="385"/>
      <c r="Z132" s="385"/>
      <c r="AA132" s="385"/>
      <c r="AB132" s="385"/>
      <c r="AC132" s="385"/>
      <c r="AD132" s="385"/>
      <c r="AE132" s="268"/>
      <c r="AF132" s="268"/>
      <c r="AG132" s="268"/>
      <c r="AH132" s="268"/>
      <c r="AI132" s="268"/>
      <c r="AJ132" s="121"/>
      <c r="AK132" s="275"/>
      <c r="AL132" s="150"/>
      <c r="AM132" s="121"/>
      <c r="AN132" s="276"/>
      <c r="AO132" s="276"/>
      <c r="AQ132" s="277"/>
    </row>
    <row r="133" spans="1:43" ht="409.5" customHeight="1">
      <c r="A133" s="272"/>
      <c r="B133" s="271"/>
      <c r="C133" s="273"/>
      <c r="D133" s="274"/>
      <c r="E133" s="274"/>
      <c r="F133" s="390" t="s">
        <v>338</v>
      </c>
      <c r="G133" s="386" t="s">
        <v>339</v>
      </c>
      <c r="H133" s="386"/>
      <c r="I133" s="386"/>
      <c r="J133" s="386" t="s">
        <v>339</v>
      </c>
      <c r="K133" s="386"/>
      <c r="L133" s="386"/>
      <c r="M133" s="386" t="s">
        <v>339</v>
      </c>
      <c r="N133" s="386"/>
      <c r="O133" s="386"/>
      <c r="P133" s="386" t="s">
        <v>339</v>
      </c>
      <c r="Q133" s="386"/>
      <c r="R133" s="386"/>
      <c r="S133" s="386" t="s">
        <v>339</v>
      </c>
      <c r="T133" s="386"/>
      <c r="U133" s="386"/>
      <c r="V133" s="386" t="s">
        <v>339</v>
      </c>
      <c r="W133" s="386"/>
      <c r="X133" s="386"/>
      <c r="Y133" s="386" t="s">
        <v>339</v>
      </c>
      <c r="Z133" s="386"/>
      <c r="AA133" s="386"/>
      <c r="AB133" s="386" t="s">
        <v>339</v>
      </c>
      <c r="AC133" s="386"/>
      <c r="AD133" s="386"/>
      <c r="AE133" s="268"/>
      <c r="AF133" s="268"/>
      <c r="AG133" s="268"/>
      <c r="AH133" s="268"/>
      <c r="AI133" s="268"/>
      <c r="AJ133" s="121"/>
      <c r="AK133" s="275"/>
      <c r="AL133" s="150"/>
      <c r="AM133" s="121"/>
      <c r="AN133" s="276"/>
      <c r="AO133" s="276"/>
      <c r="AQ133" s="277"/>
    </row>
    <row r="134" spans="1:43" ht="408.75" customHeight="1">
      <c r="A134" s="272"/>
      <c r="B134" s="271"/>
      <c r="C134" s="273"/>
      <c r="D134" s="274"/>
      <c r="E134" s="274"/>
      <c r="F134" s="390"/>
      <c r="G134" s="386"/>
      <c r="H134" s="386"/>
      <c r="I134" s="386"/>
      <c r="J134" s="386"/>
      <c r="K134" s="386"/>
      <c r="L134" s="386"/>
      <c r="M134" s="386"/>
      <c r="N134" s="386"/>
      <c r="O134" s="386"/>
      <c r="P134" s="386"/>
      <c r="Q134" s="386"/>
      <c r="R134" s="386"/>
      <c r="S134" s="386"/>
      <c r="T134" s="386"/>
      <c r="U134" s="386"/>
      <c r="V134" s="386"/>
      <c r="W134" s="386"/>
      <c r="X134" s="386"/>
      <c r="Y134" s="386"/>
      <c r="Z134" s="386"/>
      <c r="AA134" s="386"/>
      <c r="AB134" s="386"/>
      <c r="AC134" s="386"/>
      <c r="AD134" s="386"/>
      <c r="AE134" s="268"/>
      <c r="AF134" s="268"/>
      <c r="AG134" s="268"/>
      <c r="AH134" s="268"/>
      <c r="AI134" s="268"/>
      <c r="AJ134" s="121"/>
      <c r="AK134" s="275"/>
      <c r="AL134" s="150"/>
      <c r="AM134" s="121"/>
      <c r="AN134" s="276"/>
      <c r="AO134" s="276"/>
      <c r="AQ134" s="277"/>
    </row>
    <row r="135" spans="1:43" ht="409.5" customHeight="1">
      <c r="A135" s="272"/>
      <c r="B135" s="271"/>
      <c r="C135" s="273"/>
      <c r="D135" s="274"/>
      <c r="E135" s="274"/>
      <c r="F135" s="390"/>
      <c r="G135" s="386"/>
      <c r="H135" s="386"/>
      <c r="I135" s="386"/>
      <c r="J135" s="386"/>
      <c r="K135" s="386"/>
      <c r="L135" s="386"/>
      <c r="M135" s="386"/>
      <c r="N135" s="386"/>
      <c r="O135" s="386"/>
      <c r="P135" s="386"/>
      <c r="Q135" s="386"/>
      <c r="R135" s="386"/>
      <c r="S135" s="386"/>
      <c r="T135" s="386"/>
      <c r="U135" s="386"/>
      <c r="V135" s="386"/>
      <c r="W135" s="386"/>
      <c r="X135" s="386"/>
      <c r="Y135" s="386"/>
      <c r="Z135" s="386"/>
      <c r="AA135" s="386"/>
      <c r="AB135" s="386"/>
      <c r="AC135" s="386"/>
      <c r="AD135" s="386"/>
      <c r="AE135" s="268"/>
      <c r="AF135" s="268"/>
      <c r="AG135" s="268"/>
      <c r="AH135" s="268"/>
      <c r="AI135" s="268"/>
      <c r="AJ135" s="121"/>
      <c r="AK135" s="275"/>
      <c r="AL135" s="150"/>
      <c r="AM135" s="121"/>
      <c r="AN135" s="276"/>
      <c r="AO135" s="276"/>
      <c r="AQ135" s="277"/>
    </row>
    <row r="136" spans="1:43" ht="408.75" customHeight="1">
      <c r="A136" s="272"/>
      <c r="B136" s="271"/>
      <c r="C136" s="273"/>
      <c r="D136" s="274"/>
      <c r="E136" s="274"/>
      <c r="F136" s="390"/>
      <c r="G136" s="386"/>
      <c r="H136" s="386"/>
      <c r="I136" s="386"/>
      <c r="J136" s="386"/>
      <c r="K136" s="386"/>
      <c r="L136" s="386"/>
      <c r="M136" s="386"/>
      <c r="N136" s="386"/>
      <c r="O136" s="386"/>
      <c r="P136" s="386"/>
      <c r="Q136" s="386"/>
      <c r="R136" s="386"/>
      <c r="S136" s="386"/>
      <c r="T136" s="386"/>
      <c r="U136" s="386"/>
      <c r="V136" s="386"/>
      <c r="W136" s="386"/>
      <c r="X136" s="386"/>
      <c r="Y136" s="386"/>
      <c r="Z136" s="386"/>
      <c r="AA136" s="386"/>
      <c r="AB136" s="386"/>
      <c r="AC136" s="386"/>
      <c r="AD136" s="386"/>
      <c r="AE136" s="268"/>
      <c r="AF136" s="268"/>
      <c r="AG136" s="268"/>
      <c r="AH136" s="268"/>
      <c r="AI136" s="268"/>
      <c r="AJ136" s="121"/>
      <c r="AK136" s="275"/>
      <c r="AL136" s="150"/>
      <c r="AM136" s="121"/>
      <c r="AN136" s="276"/>
      <c r="AO136" s="276"/>
      <c r="AQ136" s="277"/>
    </row>
    <row r="137" spans="1:43" ht="39.75" customHeight="1">
      <c r="A137" s="272"/>
      <c r="B137" s="271"/>
      <c r="C137" s="273"/>
      <c r="D137" s="274"/>
      <c r="E137" s="274"/>
      <c r="F137" s="390" t="s">
        <v>340</v>
      </c>
      <c r="G137" s="386" t="s">
        <v>341</v>
      </c>
      <c r="H137" s="386"/>
      <c r="I137" s="386"/>
      <c r="J137" s="385"/>
      <c r="K137" s="385"/>
      <c r="L137" s="385"/>
      <c r="M137" s="385" t="s">
        <v>342</v>
      </c>
      <c r="N137" s="385"/>
      <c r="O137" s="385"/>
      <c r="P137" s="385"/>
      <c r="Q137" s="385"/>
      <c r="R137" s="385"/>
      <c r="S137" s="391"/>
      <c r="T137" s="391"/>
      <c r="U137" s="391"/>
      <c r="V137" s="278"/>
      <c r="W137" s="278"/>
      <c r="X137" s="278"/>
      <c r="Y137" s="392"/>
      <c r="Z137" s="392"/>
      <c r="AA137" s="392"/>
      <c r="AB137" s="385"/>
      <c r="AC137" s="385"/>
      <c r="AD137" s="385"/>
      <c r="AE137" s="268"/>
      <c r="AF137" s="268"/>
      <c r="AG137" s="268"/>
      <c r="AH137" s="268"/>
      <c r="AI137" s="268"/>
      <c r="AJ137" s="121"/>
      <c r="AK137" s="275"/>
      <c r="AL137" s="150"/>
      <c r="AM137" s="121"/>
      <c r="AN137" s="276"/>
      <c r="AO137" s="276"/>
      <c r="AQ137" s="277"/>
    </row>
    <row r="138" spans="1:43" ht="39.75" customHeight="1">
      <c r="A138" s="272"/>
      <c r="B138" s="271"/>
      <c r="C138" s="273"/>
      <c r="D138" s="274"/>
      <c r="E138" s="274"/>
      <c r="F138" s="390"/>
      <c r="G138" s="386"/>
      <c r="H138" s="386"/>
      <c r="I138" s="386"/>
      <c r="J138" s="385"/>
      <c r="K138" s="385"/>
      <c r="L138" s="385"/>
      <c r="M138" s="385"/>
      <c r="N138" s="385"/>
      <c r="O138" s="385"/>
      <c r="P138" s="385"/>
      <c r="Q138" s="385"/>
      <c r="R138" s="385"/>
      <c r="S138" s="393"/>
      <c r="T138" s="393"/>
      <c r="U138" s="393"/>
      <c r="V138" s="279"/>
      <c r="W138" s="279"/>
      <c r="X138" s="279"/>
      <c r="Y138" s="394"/>
      <c r="Z138" s="394"/>
      <c r="AA138" s="394"/>
      <c r="AB138" s="385"/>
      <c r="AC138" s="385"/>
      <c r="AD138" s="385"/>
      <c r="AE138" s="268"/>
      <c r="AF138" s="268"/>
      <c r="AG138" s="268"/>
      <c r="AH138" s="268"/>
      <c r="AI138" s="268"/>
      <c r="AJ138" s="121"/>
      <c r="AK138" s="275"/>
      <c r="AL138" s="150"/>
      <c r="AM138" s="121"/>
      <c r="AN138" s="276"/>
      <c r="AO138" s="276"/>
      <c r="AQ138" s="277"/>
    </row>
    <row r="139" spans="1:43" ht="39.75" customHeight="1">
      <c r="A139" s="272"/>
      <c r="B139" s="271"/>
      <c r="C139" s="273"/>
      <c r="D139" s="274"/>
      <c r="E139" s="274"/>
      <c r="F139" s="390"/>
      <c r="G139" s="386"/>
      <c r="H139" s="386"/>
      <c r="I139" s="386"/>
      <c r="J139" s="385"/>
      <c r="K139" s="385"/>
      <c r="L139" s="385"/>
      <c r="M139" s="385"/>
      <c r="N139" s="385"/>
      <c r="O139" s="385"/>
      <c r="P139" s="385"/>
      <c r="Q139" s="385"/>
      <c r="R139" s="385"/>
      <c r="S139" s="393"/>
      <c r="T139" s="393"/>
      <c r="U139" s="393"/>
      <c r="V139" s="279"/>
      <c r="W139" s="279"/>
      <c r="X139" s="279"/>
      <c r="Y139" s="394"/>
      <c r="Z139" s="394"/>
      <c r="AA139" s="394"/>
      <c r="AB139" s="385"/>
      <c r="AC139" s="385"/>
      <c r="AD139" s="385"/>
      <c r="AE139" s="268"/>
      <c r="AF139" s="268"/>
      <c r="AG139" s="268"/>
      <c r="AH139" s="268"/>
      <c r="AI139" s="268"/>
      <c r="AJ139" s="121"/>
      <c r="AK139" s="275"/>
      <c r="AL139" s="150"/>
      <c r="AM139" s="121"/>
      <c r="AN139" s="276"/>
      <c r="AO139" s="276"/>
      <c r="AQ139" s="277"/>
    </row>
    <row r="140" spans="1:43" ht="39.75" customHeight="1">
      <c r="A140" s="272"/>
      <c r="B140" s="271"/>
      <c r="C140" s="273"/>
      <c r="D140" s="274"/>
      <c r="E140" s="274"/>
      <c r="F140" s="274"/>
      <c r="G140" s="280"/>
      <c r="H140" s="281"/>
      <c r="I140" s="281"/>
      <c r="J140" s="280"/>
      <c r="K140" s="281"/>
      <c r="L140" s="281"/>
      <c r="M140" s="281"/>
      <c r="N140" s="281"/>
      <c r="O140" s="281"/>
      <c r="P140" s="281"/>
      <c r="Q140" s="281"/>
      <c r="R140" s="281"/>
      <c r="S140" s="280"/>
      <c r="T140" s="281"/>
      <c r="U140" s="281"/>
      <c r="V140" s="281"/>
      <c r="W140" s="281"/>
      <c r="X140" s="281"/>
      <c r="Y140" s="280"/>
      <c r="Z140" s="281"/>
      <c r="AA140" s="281"/>
      <c r="AB140" s="281"/>
      <c r="AC140" s="281"/>
      <c r="AD140" s="281"/>
      <c r="AE140" s="268"/>
      <c r="AF140" s="268"/>
      <c r="AG140" s="268"/>
      <c r="AH140" s="268"/>
      <c r="AI140" s="268"/>
      <c r="AJ140" s="121"/>
      <c r="AK140" s="275"/>
      <c r="AL140" s="150"/>
      <c r="AM140" s="121"/>
      <c r="AN140" s="276"/>
      <c r="AO140" s="276"/>
      <c r="AQ140" s="277"/>
    </row>
    <row r="141" spans="1:43" ht="26.25" customHeight="1">
      <c r="A141" s="282"/>
      <c r="B141" s="283"/>
      <c r="C141" s="283"/>
      <c r="D141" s="283"/>
      <c r="E141" s="283"/>
      <c r="F141" s="283"/>
      <c r="G141" s="284"/>
      <c r="H141" s="285"/>
      <c r="I141" s="286"/>
      <c r="J141" s="284"/>
      <c r="K141" s="285"/>
      <c r="L141" s="286"/>
      <c r="M141" s="286"/>
      <c r="N141" s="286"/>
      <c r="O141" s="286"/>
      <c r="P141" s="286"/>
      <c r="Q141" s="286"/>
      <c r="R141" s="286"/>
      <c r="S141" s="286"/>
      <c r="T141" s="286"/>
      <c r="U141" s="286"/>
      <c r="V141" s="286"/>
      <c r="W141" s="286"/>
      <c r="X141" s="286"/>
      <c r="Y141" s="284"/>
      <c r="Z141" s="285"/>
      <c r="AA141" s="286"/>
      <c r="AB141" s="286"/>
      <c r="AC141" s="286"/>
      <c r="AD141" s="286"/>
      <c r="AE141" s="285"/>
      <c r="AF141" s="285"/>
      <c r="AG141" s="285"/>
      <c r="AH141" s="285"/>
      <c r="AI141" s="285"/>
      <c r="AJ141" s="285"/>
      <c r="AK141" s="287"/>
      <c r="AL141" s="288"/>
      <c r="AM141" s="285"/>
      <c r="AN141" s="285"/>
      <c r="AO141" s="285"/>
      <c r="AP141" s="289"/>
      <c r="AQ141" s="290"/>
    </row>
    <row r="142" spans="1:43" ht="51" customHeight="1">
      <c r="A142" s="395" t="s">
        <v>343</v>
      </c>
      <c r="B142" s="395"/>
      <c r="C142" s="395"/>
      <c r="D142" s="395"/>
      <c r="E142" s="395"/>
      <c r="F142" s="395"/>
      <c r="G142" s="396"/>
      <c r="H142" s="396"/>
      <c r="I142" s="396"/>
      <c r="J142" s="396"/>
      <c r="K142" s="396"/>
      <c r="L142" s="396"/>
      <c r="M142" s="396"/>
      <c r="N142" s="396"/>
      <c r="O142" s="396"/>
      <c r="P142" s="396"/>
      <c r="Q142" s="396"/>
      <c r="R142" s="396"/>
      <c r="S142" s="396"/>
      <c r="T142" s="396"/>
      <c r="U142" s="396"/>
      <c r="V142" s="396"/>
      <c r="W142" s="396"/>
      <c r="X142" s="396"/>
      <c r="Y142" s="396"/>
      <c r="Z142" s="396"/>
      <c r="AA142" s="396"/>
      <c r="AB142" s="396"/>
      <c r="AC142" s="396"/>
      <c r="AD142" s="396"/>
      <c r="AE142" s="396"/>
      <c r="AF142" s="396"/>
      <c r="AG142" s="396"/>
      <c r="AH142" s="396"/>
      <c r="AI142" s="396"/>
      <c r="AJ142" s="396"/>
      <c r="AK142" s="396"/>
      <c r="AL142" s="396"/>
      <c r="AM142" s="396"/>
      <c r="AN142" s="396"/>
      <c r="AO142" s="396"/>
      <c r="AP142" s="396"/>
      <c r="AQ142" s="396"/>
    </row>
    <row r="143" spans="1:43" ht="54.75" customHeight="1">
      <c r="A143" s="397" t="s">
        <v>344</v>
      </c>
      <c r="B143" s="397"/>
      <c r="C143" s="397"/>
      <c r="D143" s="397"/>
      <c r="E143" s="397"/>
      <c r="F143" s="397"/>
      <c r="G143" s="396"/>
      <c r="H143" s="396"/>
      <c r="I143" s="396"/>
      <c r="J143" s="396"/>
      <c r="K143" s="396"/>
      <c r="L143" s="396"/>
      <c r="M143" s="396"/>
      <c r="N143" s="396"/>
      <c r="O143" s="396"/>
      <c r="P143" s="396"/>
      <c r="Q143" s="396"/>
      <c r="R143" s="396"/>
      <c r="S143" s="396"/>
      <c r="T143" s="396"/>
      <c r="U143" s="396"/>
      <c r="V143" s="396"/>
      <c r="W143" s="396"/>
      <c r="X143" s="396"/>
      <c r="Y143" s="396"/>
      <c r="Z143" s="396"/>
      <c r="AA143" s="396"/>
      <c r="AB143" s="396"/>
      <c r="AC143" s="396"/>
      <c r="AD143" s="396"/>
      <c r="AE143" s="396"/>
      <c r="AF143" s="396"/>
      <c r="AG143" s="396"/>
      <c r="AH143" s="396"/>
      <c r="AI143" s="396"/>
      <c r="AJ143" s="396"/>
      <c r="AK143" s="396"/>
      <c r="AL143" s="396"/>
      <c r="AM143" s="396"/>
      <c r="AN143" s="396"/>
      <c r="AO143" s="396"/>
      <c r="AP143" s="396"/>
      <c r="AQ143" s="396"/>
    </row>
    <row r="144" spans="1:43" ht="54.75" customHeight="1">
      <c r="A144" s="397" t="s">
        <v>345</v>
      </c>
      <c r="B144" s="397"/>
      <c r="C144" s="397"/>
      <c r="D144" s="397"/>
      <c r="E144" s="397"/>
      <c r="F144" s="397"/>
      <c r="G144" s="396"/>
      <c r="H144" s="396"/>
      <c r="I144" s="396"/>
      <c r="J144" s="396"/>
      <c r="K144" s="396"/>
      <c r="L144" s="396"/>
      <c r="M144" s="396"/>
      <c r="N144" s="396"/>
      <c r="O144" s="396"/>
      <c r="P144" s="396"/>
      <c r="Q144" s="396"/>
      <c r="R144" s="396"/>
      <c r="S144" s="396"/>
      <c r="T144" s="396"/>
      <c r="U144" s="396"/>
      <c r="V144" s="396"/>
      <c r="W144" s="396"/>
      <c r="X144" s="396"/>
      <c r="Y144" s="396"/>
      <c r="Z144" s="396"/>
      <c r="AA144" s="396"/>
      <c r="AB144" s="396"/>
      <c r="AC144" s="396"/>
      <c r="AD144" s="396"/>
      <c r="AE144" s="396"/>
      <c r="AF144" s="396"/>
      <c r="AG144" s="396"/>
      <c r="AH144" s="396"/>
      <c r="AI144" s="396"/>
      <c r="AJ144" s="396"/>
      <c r="AK144" s="396"/>
      <c r="AL144" s="396"/>
      <c r="AM144" s="396"/>
      <c r="AN144" s="396"/>
      <c r="AO144" s="396"/>
      <c r="AP144" s="396"/>
      <c r="AQ144" s="396"/>
    </row>
    <row r="145" spans="1:35" ht="18" customHeight="1">
      <c r="A145" s="291"/>
      <c r="B145" s="291"/>
      <c r="C145" s="291"/>
      <c r="D145" s="291"/>
      <c r="E145" s="291"/>
      <c r="F145" s="291"/>
      <c r="G145" s="292"/>
      <c r="H145" s="292"/>
      <c r="I145" s="292"/>
      <c r="J145" s="292"/>
      <c r="K145" s="292"/>
      <c r="L145" s="292"/>
      <c r="M145" s="292"/>
      <c r="N145" s="292"/>
      <c r="O145" s="292"/>
      <c r="P145" s="292"/>
      <c r="Q145" s="292"/>
      <c r="R145" s="292"/>
      <c r="S145" s="292"/>
      <c r="T145" s="292"/>
      <c r="U145" s="292"/>
      <c r="V145" s="292"/>
      <c r="W145" s="292"/>
      <c r="X145" s="292"/>
      <c r="Y145" s="292"/>
      <c r="Z145" s="292"/>
      <c r="AA145" s="292"/>
      <c r="AB145" s="292"/>
      <c r="AC145" s="292"/>
      <c r="AD145" s="292"/>
      <c r="AE145" s="292"/>
      <c r="AF145" s="292"/>
      <c r="AG145" s="292"/>
      <c r="AH145" s="292"/>
      <c r="AI145" s="292"/>
    </row>
    <row r="146" spans="1:35" ht="18" customHeight="1">
      <c r="A146" s="121"/>
    </row>
    <row r="147" spans="1:35" ht="18" customHeight="1">
      <c r="A147" s="121"/>
      <c r="AF147" s="293"/>
      <c r="AG147" s="293"/>
      <c r="AH147" s="293"/>
      <c r="AI147" s="293"/>
    </row>
    <row r="149" spans="1:35" ht="15" customHeight="1">
      <c r="A149" s="398" t="s">
        <v>346</v>
      </c>
      <c r="B149" s="398"/>
      <c r="C149" s="398"/>
      <c r="D149" s="398"/>
      <c r="E149" s="398"/>
      <c r="F149" s="398"/>
    </row>
    <row r="151" spans="1:35" ht="13.5" customHeight="1">
      <c r="A151" s="294" t="s">
        <v>347</v>
      </c>
      <c r="B151" s="294" t="s">
        <v>348</v>
      </c>
      <c r="C151" s="294" t="s">
        <v>349</v>
      </c>
      <c r="D151" s="294" t="s">
        <v>350</v>
      </c>
      <c r="E151" s="294" t="s">
        <v>351</v>
      </c>
      <c r="F151" s="294" t="s">
        <v>352</v>
      </c>
    </row>
    <row r="152" spans="1:35" ht="13.5" customHeight="1">
      <c r="A152" s="295" t="s">
        <v>353</v>
      </c>
      <c r="B152" s="296" t="s">
        <v>354</v>
      </c>
      <c r="C152" s="295">
        <v>1</v>
      </c>
      <c r="D152" s="297">
        <v>4918</v>
      </c>
      <c r="E152" s="297">
        <f t="shared" ref="E152:E164" si="52">C152*D152</f>
        <v>4918</v>
      </c>
      <c r="F152" s="296" t="s">
        <v>355</v>
      </c>
    </row>
    <row r="153" spans="1:35" ht="26.25" customHeight="1">
      <c r="A153" s="295" t="s">
        <v>356</v>
      </c>
      <c r="B153" s="296" t="s">
        <v>354</v>
      </c>
      <c r="C153" s="295">
        <v>1</v>
      </c>
      <c r="D153" s="297">
        <v>26683</v>
      </c>
      <c r="E153" s="297">
        <f t="shared" si="52"/>
        <v>26683</v>
      </c>
      <c r="F153" s="296" t="s">
        <v>357</v>
      </c>
    </row>
    <row r="154" spans="1:35" ht="13.5" customHeight="1">
      <c r="A154" s="295" t="s">
        <v>358</v>
      </c>
      <c r="B154" s="296" t="s">
        <v>354</v>
      </c>
      <c r="C154" s="295">
        <v>1</v>
      </c>
      <c r="D154" s="297">
        <v>13710</v>
      </c>
      <c r="E154" s="297">
        <f t="shared" si="52"/>
        <v>13710</v>
      </c>
      <c r="F154" s="296" t="s">
        <v>359</v>
      </c>
    </row>
    <row r="155" spans="1:35" ht="13.5" customHeight="1">
      <c r="A155" s="295" t="s">
        <v>360</v>
      </c>
      <c r="B155" s="296" t="s">
        <v>354</v>
      </c>
      <c r="C155" s="295">
        <v>1</v>
      </c>
      <c r="D155" s="297">
        <v>31132</v>
      </c>
      <c r="E155" s="297">
        <f t="shared" si="52"/>
        <v>31132</v>
      </c>
      <c r="F155" s="296" t="s">
        <v>361</v>
      </c>
    </row>
    <row r="156" spans="1:35" ht="13.5" customHeight="1">
      <c r="A156" s="295" t="s">
        <v>362</v>
      </c>
      <c r="B156" s="296" t="s">
        <v>354</v>
      </c>
      <c r="C156" s="295">
        <v>1</v>
      </c>
      <c r="D156" s="297">
        <v>8394</v>
      </c>
      <c r="E156" s="297">
        <f t="shared" si="52"/>
        <v>8394</v>
      </c>
      <c r="F156" s="296" t="s">
        <v>361</v>
      </c>
    </row>
    <row r="157" spans="1:35" ht="13.5" customHeight="1">
      <c r="A157" s="295" t="s">
        <v>363</v>
      </c>
      <c r="B157" s="296" t="s">
        <v>364</v>
      </c>
      <c r="C157" s="295">
        <v>1</v>
      </c>
      <c r="D157" s="297">
        <v>140762</v>
      </c>
      <c r="E157" s="297">
        <f t="shared" si="52"/>
        <v>140762</v>
      </c>
      <c r="F157" s="296" t="s">
        <v>355</v>
      </c>
    </row>
    <row r="158" spans="1:35" ht="13.5" customHeight="1">
      <c r="A158" s="295" t="s">
        <v>365</v>
      </c>
      <c r="B158" s="296" t="s">
        <v>364</v>
      </c>
      <c r="C158" s="295">
        <v>1</v>
      </c>
      <c r="D158" s="297">
        <v>110394</v>
      </c>
      <c r="E158" s="297">
        <f t="shared" si="52"/>
        <v>110394</v>
      </c>
      <c r="F158" s="296" t="s">
        <v>355</v>
      </c>
    </row>
    <row r="159" spans="1:35" ht="13.5" customHeight="1">
      <c r="A159" s="295" t="s">
        <v>366</v>
      </c>
      <c r="B159" s="296" t="s">
        <v>364</v>
      </c>
      <c r="C159" s="295">
        <v>1</v>
      </c>
      <c r="D159" s="297">
        <v>86374</v>
      </c>
      <c r="E159" s="297">
        <f t="shared" si="52"/>
        <v>86374</v>
      </c>
      <c r="F159" s="296" t="s">
        <v>355</v>
      </c>
    </row>
    <row r="160" spans="1:35" ht="26.25" customHeight="1">
      <c r="A160" s="295" t="s">
        <v>367</v>
      </c>
      <c r="B160" s="296" t="s">
        <v>368</v>
      </c>
      <c r="C160" s="295">
        <v>1</v>
      </c>
      <c r="D160" s="297">
        <v>31859</v>
      </c>
      <c r="E160" s="297">
        <f t="shared" si="52"/>
        <v>31859</v>
      </c>
      <c r="F160" s="296" t="s">
        <v>369</v>
      </c>
    </row>
    <row r="161" spans="1:6" ht="13.5" customHeight="1">
      <c r="A161" s="295" t="s">
        <v>370</v>
      </c>
      <c r="B161" s="296" t="s">
        <v>368</v>
      </c>
      <c r="C161" s="295">
        <v>1</v>
      </c>
      <c r="D161" s="297">
        <v>39610</v>
      </c>
      <c r="E161" s="297">
        <f t="shared" si="52"/>
        <v>39610</v>
      </c>
      <c r="F161" s="296" t="s">
        <v>371</v>
      </c>
    </row>
    <row r="162" spans="1:6" ht="13.5" customHeight="1">
      <c r="A162" s="295" t="s">
        <v>372</v>
      </c>
      <c r="B162" s="296" t="s">
        <v>368</v>
      </c>
      <c r="C162" s="295">
        <v>1</v>
      </c>
      <c r="D162" s="297">
        <v>27355</v>
      </c>
      <c r="E162" s="297">
        <f t="shared" si="52"/>
        <v>27355</v>
      </c>
      <c r="F162" s="296" t="s">
        <v>371</v>
      </c>
    </row>
    <row r="163" spans="1:6" ht="13.5" customHeight="1">
      <c r="A163" s="295" t="s">
        <v>373</v>
      </c>
      <c r="B163" s="296" t="s">
        <v>368</v>
      </c>
      <c r="C163" s="295">
        <v>1</v>
      </c>
      <c r="D163" s="297">
        <v>124314</v>
      </c>
      <c r="E163" s="297">
        <f t="shared" si="52"/>
        <v>124314</v>
      </c>
      <c r="F163" s="296" t="s">
        <v>371</v>
      </c>
    </row>
    <row r="164" spans="1:6" ht="13.5" customHeight="1">
      <c r="A164" s="295" t="s">
        <v>374</v>
      </c>
      <c r="B164" s="296" t="s">
        <v>364</v>
      </c>
      <c r="C164" s="295">
        <v>1</v>
      </c>
      <c r="D164" s="297">
        <v>30777</v>
      </c>
      <c r="E164" s="297">
        <f t="shared" si="52"/>
        <v>30777</v>
      </c>
      <c r="F164" s="296" t="s">
        <v>355</v>
      </c>
    </row>
    <row r="165" spans="1:6" ht="13.5" customHeight="1">
      <c r="D165" s="298" t="s">
        <v>19</v>
      </c>
      <c r="E165" s="299">
        <f>SUM(E152:E164)</f>
        <v>676282</v>
      </c>
    </row>
    <row r="167" spans="1:6" ht="30" customHeight="1">
      <c r="A167" s="399" t="s">
        <v>375</v>
      </c>
      <c r="B167" s="399"/>
      <c r="C167" s="399"/>
      <c r="D167" s="399"/>
      <c r="E167" s="399"/>
      <c r="F167" s="399"/>
    </row>
    <row r="169" spans="1:6" ht="30" customHeight="1">
      <c r="A169" s="399" t="s">
        <v>376</v>
      </c>
      <c r="B169" s="399"/>
      <c r="C169" s="399"/>
      <c r="D169" s="399"/>
      <c r="E169" s="399"/>
      <c r="F169" s="399"/>
    </row>
  </sheetData>
  <mergeCells count="443">
    <mergeCell ref="A142:F142"/>
    <mergeCell ref="G142:AQ142"/>
    <mergeCell ref="A143:F143"/>
    <mergeCell ref="G143:AQ143"/>
    <mergeCell ref="A144:F144"/>
    <mergeCell ref="G144:AQ144"/>
    <mergeCell ref="A149:F149"/>
    <mergeCell ref="A167:F167"/>
    <mergeCell ref="A169:F169"/>
    <mergeCell ref="F137:F139"/>
    <mergeCell ref="G137:I139"/>
    <mergeCell ref="J137:L139"/>
    <mergeCell ref="M137:O139"/>
    <mergeCell ref="P137:R139"/>
    <mergeCell ref="S137:U137"/>
    <mergeCell ref="Y137:AA137"/>
    <mergeCell ref="AB137:AD139"/>
    <mergeCell ref="S138:U138"/>
    <mergeCell ref="Y138:AA138"/>
    <mergeCell ref="S139:U139"/>
    <mergeCell ref="Y139:AA139"/>
    <mergeCell ref="G132:I132"/>
    <mergeCell ref="J132:L132"/>
    <mergeCell ref="M132:O132"/>
    <mergeCell ref="P132:R132"/>
    <mergeCell ref="S132:U132"/>
    <mergeCell ref="V132:X132"/>
    <mergeCell ref="Y132:AA132"/>
    <mergeCell ref="AB132:AD132"/>
    <mergeCell ref="F133:F136"/>
    <mergeCell ref="G133:I136"/>
    <mergeCell ref="J133:L136"/>
    <mergeCell ref="M133:O136"/>
    <mergeCell ref="P133:R136"/>
    <mergeCell ref="S133:U136"/>
    <mergeCell ref="V133:X136"/>
    <mergeCell ref="Y133:AA136"/>
    <mergeCell ref="AB133:AD136"/>
    <mergeCell ref="G130:I130"/>
    <mergeCell ref="J130:L130"/>
    <mergeCell ref="M130:O130"/>
    <mergeCell ref="P130:R130"/>
    <mergeCell ref="S130:U130"/>
    <mergeCell ref="V130:X130"/>
    <mergeCell ref="Y130:AA130"/>
    <mergeCell ref="AB130:AD130"/>
    <mergeCell ref="G131:I131"/>
    <mergeCell ref="J131:L131"/>
    <mergeCell ref="M131:O131"/>
    <mergeCell ref="P131:R131"/>
    <mergeCell ref="S131:U131"/>
    <mergeCell ref="V131:X131"/>
    <mergeCell ref="Y131:AA131"/>
    <mergeCell ref="AB131:AD131"/>
    <mergeCell ref="AN128:AO128"/>
    <mergeCell ref="AP128:AQ128"/>
    <mergeCell ref="G129:I129"/>
    <mergeCell ref="J129:L129"/>
    <mergeCell ref="M129:O129"/>
    <mergeCell ref="P129:R129"/>
    <mergeCell ref="S129:U129"/>
    <mergeCell ref="V129:X129"/>
    <mergeCell ref="Y129:AA129"/>
    <mergeCell ref="AB129:AD129"/>
    <mergeCell ref="AE127:AF127"/>
    <mergeCell ref="G128:I128"/>
    <mergeCell ref="J128:L128"/>
    <mergeCell ref="M128:O128"/>
    <mergeCell ref="P128:R128"/>
    <mergeCell ref="S128:U128"/>
    <mergeCell ref="V128:X128"/>
    <mergeCell ref="Y128:AA128"/>
    <mergeCell ref="AB128:AD128"/>
    <mergeCell ref="AE128:AI128"/>
    <mergeCell ref="G126:I126"/>
    <mergeCell ref="J126:L126"/>
    <mergeCell ref="M126:O126"/>
    <mergeCell ref="P126:R126"/>
    <mergeCell ref="S126:U126"/>
    <mergeCell ref="V126:X126"/>
    <mergeCell ref="Y126:AA126"/>
    <mergeCell ref="AB126:AD126"/>
    <mergeCell ref="G127:I127"/>
    <mergeCell ref="J127:L127"/>
    <mergeCell ref="M127:O127"/>
    <mergeCell ref="P127:R127"/>
    <mergeCell ref="S127:U127"/>
    <mergeCell ref="V127:X127"/>
    <mergeCell ref="Y127:AA127"/>
    <mergeCell ref="AB127:AD127"/>
    <mergeCell ref="G125:I125"/>
    <mergeCell ref="J125:L125"/>
    <mergeCell ref="M125:O125"/>
    <mergeCell ref="P125:R125"/>
    <mergeCell ref="S125:U125"/>
    <mergeCell ref="V125:X125"/>
    <mergeCell ref="Y125:AA125"/>
    <mergeCell ref="AB125:AD125"/>
    <mergeCell ref="AS125:AT125"/>
    <mergeCell ref="S121:U122"/>
    <mergeCell ref="V121:X122"/>
    <mergeCell ref="Y121:AA122"/>
    <mergeCell ref="AB121:AD122"/>
    <mergeCell ref="AE121:AM123"/>
    <mergeCell ref="AN121:AO123"/>
    <mergeCell ref="AP121:AQ123"/>
    <mergeCell ref="D122:E122"/>
    <mergeCell ref="AS122:AT122"/>
    <mergeCell ref="D123:E127"/>
    <mergeCell ref="F123:F124"/>
    <mergeCell ref="G123:I124"/>
    <mergeCell ref="J123:L124"/>
    <mergeCell ref="M123:O124"/>
    <mergeCell ref="P123:R124"/>
    <mergeCell ref="S123:U124"/>
    <mergeCell ref="V123:X124"/>
    <mergeCell ref="Y123:AA124"/>
    <mergeCell ref="AB123:AD124"/>
    <mergeCell ref="AS123:AT123"/>
    <mergeCell ref="AE124:AG124"/>
    <mergeCell ref="AH124:AI127"/>
    <mergeCell ref="AP124:AQ127"/>
    <mergeCell ref="AS124:AT124"/>
    <mergeCell ref="C118:D118"/>
    <mergeCell ref="C119:D119"/>
    <mergeCell ref="C120:D120"/>
    <mergeCell ref="A121:E121"/>
    <mergeCell ref="F121:F122"/>
    <mergeCell ref="G121:I122"/>
    <mergeCell ref="J121:L122"/>
    <mergeCell ref="M121:O122"/>
    <mergeCell ref="P121:R122"/>
    <mergeCell ref="S114:U114"/>
    <mergeCell ref="V114:X114"/>
    <mergeCell ref="Y114:AA114"/>
    <mergeCell ref="AB114:AD114"/>
    <mergeCell ref="C115:D115"/>
    <mergeCell ref="C116:D116"/>
    <mergeCell ref="C117:D117"/>
    <mergeCell ref="G117:I117"/>
    <mergeCell ref="J117:L117"/>
    <mergeCell ref="M117:O117"/>
    <mergeCell ref="P117:R117"/>
    <mergeCell ref="S117:U117"/>
    <mergeCell ref="V117:X117"/>
    <mergeCell ref="Y117:AA117"/>
    <mergeCell ref="AB117:AD117"/>
    <mergeCell ref="C110:D110"/>
    <mergeCell ref="G110:I110"/>
    <mergeCell ref="J110:L110"/>
    <mergeCell ref="P110:R110"/>
    <mergeCell ref="C111:D111"/>
    <mergeCell ref="C112:D112"/>
    <mergeCell ref="C113:D113"/>
    <mergeCell ref="C114:D114"/>
    <mergeCell ref="G114:I114"/>
    <mergeCell ref="J114:L114"/>
    <mergeCell ref="M114:O114"/>
    <mergeCell ref="P114:R114"/>
    <mergeCell ref="V108:X108"/>
    <mergeCell ref="Y108:AA108"/>
    <mergeCell ref="AB108:AD108"/>
    <mergeCell ref="C109:D109"/>
    <mergeCell ref="G109:I109"/>
    <mergeCell ref="J109:L109"/>
    <mergeCell ref="M109:O109"/>
    <mergeCell ref="P109:R109"/>
    <mergeCell ref="S109:U109"/>
    <mergeCell ref="V109:X109"/>
    <mergeCell ref="Y109:AA109"/>
    <mergeCell ref="AB109:AD109"/>
    <mergeCell ref="C106:D106"/>
    <mergeCell ref="J106:L106"/>
    <mergeCell ref="P106:R106"/>
    <mergeCell ref="S106:U106"/>
    <mergeCell ref="C107:D107"/>
    <mergeCell ref="J107:L107"/>
    <mergeCell ref="S107:U107"/>
    <mergeCell ref="C108:D108"/>
    <mergeCell ref="G108:I108"/>
    <mergeCell ref="J108:L108"/>
    <mergeCell ref="M108:O108"/>
    <mergeCell ref="P108:R108"/>
    <mergeCell ref="S108:U108"/>
    <mergeCell ref="V104:X104"/>
    <mergeCell ref="Y104:AA104"/>
    <mergeCell ref="AB104:AD104"/>
    <mergeCell ref="C105:D105"/>
    <mergeCell ref="G105:I105"/>
    <mergeCell ref="J105:L105"/>
    <mergeCell ref="M105:O105"/>
    <mergeCell ref="P105:R105"/>
    <mergeCell ref="S105:U105"/>
    <mergeCell ref="V105:X105"/>
    <mergeCell ref="Y105:AA105"/>
    <mergeCell ref="AB105:AD105"/>
    <mergeCell ref="C102:D102"/>
    <mergeCell ref="C103:D103"/>
    <mergeCell ref="P103:R103"/>
    <mergeCell ref="C104:D104"/>
    <mergeCell ref="G104:I104"/>
    <mergeCell ref="J104:L104"/>
    <mergeCell ref="M104:O104"/>
    <mergeCell ref="P104:R104"/>
    <mergeCell ref="S104:U104"/>
    <mergeCell ref="C100:D100"/>
    <mergeCell ref="G100:I100"/>
    <mergeCell ref="J100:L100"/>
    <mergeCell ref="P100:R100"/>
    <mergeCell ref="S100:U100"/>
    <mergeCell ref="V100:X100"/>
    <mergeCell ref="Y100:AA100"/>
    <mergeCell ref="C101:D101"/>
    <mergeCell ref="J101:L101"/>
    <mergeCell ref="Y101:AA101"/>
    <mergeCell ref="C94:D94"/>
    <mergeCell ref="C95:D95"/>
    <mergeCell ref="C96:D96"/>
    <mergeCell ref="C97:D97"/>
    <mergeCell ref="C98:D98"/>
    <mergeCell ref="Y98:AA98"/>
    <mergeCell ref="C99:D99"/>
    <mergeCell ref="P99:R99"/>
    <mergeCell ref="Y99:AA99"/>
    <mergeCell ref="C88:D88"/>
    <mergeCell ref="J88:L88"/>
    <mergeCell ref="C89:D89"/>
    <mergeCell ref="C90:D90"/>
    <mergeCell ref="C91:D91"/>
    <mergeCell ref="C92:D92"/>
    <mergeCell ref="Y92:AA92"/>
    <mergeCell ref="C93:D93"/>
    <mergeCell ref="J93:L93"/>
    <mergeCell ref="Y93:AA93"/>
    <mergeCell ref="C82:D82"/>
    <mergeCell ref="C83:D83"/>
    <mergeCell ref="C84:D84"/>
    <mergeCell ref="J84:L84"/>
    <mergeCell ref="C85:D85"/>
    <mergeCell ref="J85:L85"/>
    <mergeCell ref="C86:D86"/>
    <mergeCell ref="J86:L86"/>
    <mergeCell ref="C87:D87"/>
    <mergeCell ref="J87:L87"/>
    <mergeCell ref="C76:D76"/>
    <mergeCell ref="C77:D77"/>
    <mergeCell ref="J77:L77"/>
    <mergeCell ref="C78:D78"/>
    <mergeCell ref="C79:D79"/>
    <mergeCell ref="J79:L79"/>
    <mergeCell ref="C80:D80"/>
    <mergeCell ref="C81:D81"/>
    <mergeCell ref="J81:L81"/>
    <mergeCell ref="C69:D69"/>
    <mergeCell ref="C70:D70"/>
    <mergeCell ref="G70:I70"/>
    <mergeCell ref="J70:L70"/>
    <mergeCell ref="C71:D71"/>
    <mergeCell ref="C72:D72"/>
    <mergeCell ref="C73:D73"/>
    <mergeCell ref="C74:D74"/>
    <mergeCell ref="C75:D75"/>
    <mergeCell ref="C61:D61"/>
    <mergeCell ref="J61:L61"/>
    <mergeCell ref="C62:D62"/>
    <mergeCell ref="C63:D63"/>
    <mergeCell ref="C64:D64"/>
    <mergeCell ref="C65:D65"/>
    <mergeCell ref="C66:D66"/>
    <mergeCell ref="C67:D67"/>
    <mergeCell ref="C68:D68"/>
    <mergeCell ref="C60:D60"/>
    <mergeCell ref="G60:I60"/>
    <mergeCell ref="J60:L60"/>
    <mergeCell ref="M60:O60"/>
    <mergeCell ref="P60:R60"/>
    <mergeCell ref="S60:U60"/>
    <mergeCell ref="V60:X60"/>
    <mergeCell ref="Y60:AA60"/>
    <mergeCell ref="AB60:AD60"/>
    <mergeCell ref="C59:D59"/>
    <mergeCell ref="G59:I59"/>
    <mergeCell ref="J59:L59"/>
    <mergeCell ref="M59:O59"/>
    <mergeCell ref="P59:R59"/>
    <mergeCell ref="S59:U59"/>
    <mergeCell ref="V59:X59"/>
    <mergeCell ref="Y59:AA59"/>
    <mergeCell ref="AB59:AD59"/>
    <mergeCell ref="C54:D54"/>
    <mergeCell ref="C55:D55"/>
    <mergeCell ref="J55:L55"/>
    <mergeCell ref="C56:D56"/>
    <mergeCell ref="J56:L56"/>
    <mergeCell ref="C57:D57"/>
    <mergeCell ref="J57:L57"/>
    <mergeCell ref="C58:D58"/>
    <mergeCell ref="J58:L58"/>
    <mergeCell ref="C48:D48"/>
    <mergeCell ref="V48:X48"/>
    <mergeCell ref="Y48:AA48"/>
    <mergeCell ref="C49:D49"/>
    <mergeCell ref="C50:D50"/>
    <mergeCell ref="J50:L50"/>
    <mergeCell ref="C51:D51"/>
    <mergeCell ref="C52:D52"/>
    <mergeCell ref="C53:D53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33:D33"/>
    <mergeCell ref="C34:D34"/>
    <mergeCell ref="C35:D35"/>
    <mergeCell ref="P35:P37"/>
    <mergeCell ref="Q35:Q37"/>
    <mergeCell ref="R35:R37"/>
    <mergeCell ref="C36:D36"/>
    <mergeCell ref="C37:D37"/>
    <mergeCell ref="C38:D38"/>
    <mergeCell ref="S27:U27"/>
    <mergeCell ref="V27:X27"/>
    <mergeCell ref="Y27:AA27"/>
    <mergeCell ref="AB27:AD27"/>
    <mergeCell ref="C28:D28"/>
    <mergeCell ref="C29:D29"/>
    <mergeCell ref="C30:D30"/>
    <mergeCell ref="C31:D31"/>
    <mergeCell ref="C32:D32"/>
    <mergeCell ref="C23:D23"/>
    <mergeCell ref="C24:D24"/>
    <mergeCell ref="C25:D25"/>
    <mergeCell ref="C26:D26"/>
    <mergeCell ref="C27:D27"/>
    <mergeCell ref="G27:I27"/>
    <mergeCell ref="J27:L27"/>
    <mergeCell ref="M27:O27"/>
    <mergeCell ref="P27:R27"/>
    <mergeCell ref="M19:O19"/>
    <mergeCell ref="P19:R19"/>
    <mergeCell ref="S19:U19"/>
    <mergeCell ref="V19:X19"/>
    <mergeCell ref="Y19:AA19"/>
    <mergeCell ref="AB19:AD19"/>
    <mergeCell ref="C20:D20"/>
    <mergeCell ref="C21:D21"/>
    <mergeCell ref="C22:D22"/>
    <mergeCell ref="C13:D13"/>
    <mergeCell ref="C14:D14"/>
    <mergeCell ref="C15:D15"/>
    <mergeCell ref="C16:D16"/>
    <mergeCell ref="C17:D17"/>
    <mergeCell ref="C18:D18"/>
    <mergeCell ref="C19:D19"/>
    <mergeCell ref="G19:I19"/>
    <mergeCell ref="J19:L19"/>
    <mergeCell ref="H11:I11"/>
    <mergeCell ref="K11:L11"/>
    <mergeCell ref="N11:O11"/>
    <mergeCell ref="Q11:R11"/>
    <mergeCell ref="T11:U11"/>
    <mergeCell ref="W11:X11"/>
    <mergeCell ref="Z11:AA11"/>
    <mergeCell ref="AC11:AD11"/>
    <mergeCell ref="B12:D12"/>
    <mergeCell ref="H9:I9"/>
    <mergeCell ref="K9:L9"/>
    <mergeCell ref="N9:O9"/>
    <mergeCell ref="Q9:R9"/>
    <mergeCell ref="T9:U9"/>
    <mergeCell ref="W9:X9"/>
    <mergeCell ref="Z9:AA9"/>
    <mergeCell ref="AC9:AD9"/>
    <mergeCell ref="H10:I10"/>
    <mergeCell ref="K10:L10"/>
    <mergeCell ref="N10:O10"/>
    <mergeCell ref="Q10:R10"/>
    <mergeCell ref="T10:U10"/>
    <mergeCell ref="W10:X10"/>
    <mergeCell ref="Z10:AA10"/>
    <mergeCell ref="AC10:AD10"/>
    <mergeCell ref="AN6:AN11"/>
    <mergeCell ref="AO6:AO11"/>
    <mergeCell ref="AP6:AP12"/>
    <mergeCell ref="AQ6:AQ12"/>
    <mergeCell ref="A7:B11"/>
    <mergeCell ref="D7:F7"/>
    <mergeCell ref="H7:I7"/>
    <mergeCell ref="K7:L7"/>
    <mergeCell ref="N7:O7"/>
    <mergeCell ref="Q7:R7"/>
    <mergeCell ref="T7:U7"/>
    <mergeCell ref="W7:X7"/>
    <mergeCell ref="Z7:AA7"/>
    <mergeCell ref="AC7:AD7"/>
    <mergeCell ref="D8:F8"/>
    <mergeCell ref="H8:I8"/>
    <mergeCell ref="K8:L8"/>
    <mergeCell ref="N8:O8"/>
    <mergeCell ref="Q8:R8"/>
    <mergeCell ref="T8:U8"/>
    <mergeCell ref="W8:X8"/>
    <mergeCell ref="Z8:AA8"/>
    <mergeCell ref="AC8:AD8"/>
    <mergeCell ref="D9:F9"/>
    <mergeCell ref="AE6:AE11"/>
    <mergeCell ref="AF6:AF11"/>
    <mergeCell ref="AG6:AG12"/>
    <mergeCell ref="AH6:AH12"/>
    <mergeCell ref="AI6:AI12"/>
    <mergeCell ref="AJ6:AJ11"/>
    <mergeCell ref="AK6:AK11"/>
    <mergeCell ref="AL6:AL11"/>
    <mergeCell ref="AM6:AM11"/>
    <mergeCell ref="D6:F6"/>
    <mergeCell ref="H6:I6"/>
    <mergeCell ref="K6:L6"/>
    <mergeCell ref="N6:O6"/>
    <mergeCell ref="Q6:R6"/>
    <mergeCell ref="T6:U6"/>
    <mergeCell ref="W6:X6"/>
    <mergeCell ref="Z6:AA6"/>
    <mergeCell ref="AC6:AD6"/>
    <mergeCell ref="A1:D3"/>
    <mergeCell ref="H2:L2"/>
    <mergeCell ref="G3:L3"/>
    <mergeCell ref="AJ4:AO5"/>
    <mergeCell ref="AP4:AQ5"/>
    <mergeCell ref="B5:C5"/>
    <mergeCell ref="D5:F5"/>
    <mergeCell ref="H5:I5"/>
    <mergeCell ref="K5:L5"/>
    <mergeCell ref="N5:O5"/>
    <mergeCell ref="Q5:R5"/>
    <mergeCell ref="T5:U5"/>
    <mergeCell ref="Z5:AA5"/>
    <mergeCell ref="AC5:AD5"/>
    <mergeCell ref="AE5:AI5"/>
  </mergeCells>
  <hyperlinks>
    <hyperlink ref="H11" r:id="rId1"/>
    <hyperlink ref="K11" r:id="rId2"/>
    <hyperlink ref="N11" r:id="rId3"/>
    <hyperlink ref="Q11" r:id="rId4"/>
    <hyperlink ref="W11" r:id="rId5"/>
    <hyperlink ref="AC11" r:id="rId6"/>
  </hyperlinks>
  <printOptions horizontalCentered="1" verticalCentered="1"/>
  <pageMargins left="0.2" right="0.2" top="0.59027777777777801" bottom="0.59027777777777801" header="0.511811023622047" footer="0.511811023622047"/>
  <pageSetup paperSize="9" orientation="landscape" horizontalDpi="300" verticalDpi="300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QC001  (2)</vt:lpstr>
      <vt:lpstr>QC0003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externa01</dc:creator>
  <dc:description/>
  <cp:lastModifiedBy>Rodrigo Williams</cp:lastModifiedBy>
  <cp:revision>0</cp:revision>
  <cp:lastPrinted>2025-02-13T18:49:28Z</cp:lastPrinted>
  <dcterms:created xsi:type="dcterms:W3CDTF">2003-10-02T23:40:17Z</dcterms:created>
  <dcterms:modified xsi:type="dcterms:W3CDTF">2026-08-31T20:09:53Z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0x0101000CBB243E64C09C409192F6E44918C7D7</vt:lpwstr>
  </property>
  <property fmtid="{D5CDD505-2E9C-101B-9397-08002B2CF9AE}" pid="3" name="MediaServiceImageTags">
    <vt:lpwstr/>
  </property>
</Properties>
</file>