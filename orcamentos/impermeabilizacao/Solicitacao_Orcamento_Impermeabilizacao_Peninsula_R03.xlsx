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ções" sheetId="1" state="visible" r:id="rId1"/>
    <sheet name="Proposta" sheetId="2" state="visible" r:id="rId2"/>
    <sheet name="Qtd por Pavimento" sheetId="3" state="visible" r:id="rId3"/>
    <sheet name="Memória por Ambiente" sheetId="4" state="visible" r:id="rId4"/>
    <sheet name="Especificação dos Sistemas" sheetId="5" state="visible" r:id="rId5"/>
    <sheet name="Pendências" sheetId="6" state="visible" r:id="rId6"/>
  </sheets>
  <definedNames>
    <definedName name="_xlnm.Print_Titles" localSheetId="1">'Proposta'!$11:$11</definedName>
    <definedName name="_xlnm._FilterDatabase" localSheetId="3" hidden="1">'Memória por Ambiente'!$A$1:$S$296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;-&quot;R$&quot; #,##0.00;&quot;-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3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2" borderId="0" pivotButton="0" quotePrefix="0" xfId="0"/>
    <xf numFmtId="0" fontId="7" fillId="0" borderId="0" pivotButton="0" quotePrefix="0" xfId="0"/>
    <xf numFmtId="0" fontId="4" fillId="0" borderId="1" applyAlignment="1" pivotButton="0" quotePrefix="0" xfId="0">
      <alignment vertical="center"/>
    </xf>
    <xf numFmtId="0" fontId="0" fillId="0" borderId="4" pivotButton="0" quotePrefix="0" xfId="0"/>
    <xf numFmtId="0" fontId="3" fillId="2" borderId="1" applyAlignment="1" pivotButton="0" quotePrefix="0" xfId="0">
      <alignment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4" fontId="3" fillId="6" borderId="1" applyAlignment="1" pivotButton="0" quotePrefix="0" xfId="0">
      <alignment vertical="center"/>
    </xf>
    <xf numFmtId="164" fontId="3" fillId="2" borderId="1" applyAlignment="1" pivotButton="0" quotePrefix="0" xfId="0">
      <alignment vertical="center"/>
    </xf>
    <xf numFmtId="164" fontId="3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164" fontId="4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8" fillId="0" borderId="0" pivotButton="0" quotePrefix="0" xfId="0"/>
    <xf numFmtId="4" fontId="3" fillId="0" borderId="1" applyAlignment="1" pivotButton="0" quotePrefix="0" xfId="0">
      <alignment vertical="center"/>
    </xf>
    <xf numFmtId="4" fontId="4" fillId="6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4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4" fontId="6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4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SOLICITAÇÃO DE ORÇAMENTO — IMPERMEABILIZAÇÃO</t>
        </is>
      </c>
    </row>
    <row r="3">
      <c r="B3" s="2" t="inlineStr">
        <is>
          <t>Cliente: AZO INCORPORADORA   |   Obra: PENÍNSULA RJ - FASE A</t>
        </is>
      </c>
    </row>
    <row r="4">
      <c r="B4" s="3" t="inlineStr">
        <is>
          <t>Base: planilha de quantitativo IMP-LO-121-PLA-R03 (emissão 07/07/2026, rev. R03). Quantidades de projeto — confirmar in loco.</t>
        </is>
      </c>
    </row>
    <row r="5">
      <c r="B5" s="3" t="inlineStr"/>
    </row>
    <row r="6">
      <c r="B6" s="2" t="inlineStr">
        <is>
          <t>COMO PREENCHER</t>
        </is>
      </c>
    </row>
    <row r="7">
      <c r="B7" s="3" t="inlineStr">
        <is>
          <t>1. Preencha SOMENTE as células AMARELAS da aba "Proposta": dados da empresa, preço unitário de MATERIAL e de MÃO DE OBRA (R$/m²) e as perguntas de escopo.</t>
        </is>
      </c>
    </row>
    <row r="8">
      <c r="B8" s="3" t="inlineStr">
        <is>
          <t>2. Os preços são por m² de SISTEMA COMPLETO, conforme o código do projeto (todas as camadas descritas: primer, manta/membrana, tela de poliéster, banho de asfalto, camada separadora, antirraiz, XPS etc.), incluindo arremates, reforços em ralos, rodapés, juntas, meia-cana e teste de estanqueidade.</t>
        </is>
      </c>
    </row>
    <row r="9">
      <c r="B9" s="3" t="inlineStr">
        <is>
          <t>3. Os serviços complementares (regularização, proteção mecânica, drenagem) são cotados em separado, para que possamos comparar propostas que incluem ou não esses serviços. Se não executar algum, deixe em branco e marque "Não" na pergunta correspondente.</t>
        </is>
      </c>
    </row>
    <row r="10">
      <c r="B10" s="3" t="inlineStr">
        <is>
          <t>4. As quantidades, totais e a distribuição por pavimento são calculadas automaticamente — não altere. Caso discorde de alguma quantidade, informe no campo "Observações".</t>
        </is>
      </c>
    </row>
    <row r="11">
      <c r="B11" s="3" t="inlineStr">
        <is>
          <t>5. O Opcional Piscina (personalização de unidades) usa os MESMOS preços unitários do grupo 1/2 e é somado à parte; não entra no total base.</t>
        </is>
      </c>
    </row>
    <row r="12">
      <c r="B12" s="3" t="inlineStr"/>
    </row>
    <row r="13">
      <c r="B13" s="2" t="inlineStr">
        <is>
          <t>ABAS</t>
        </is>
      </c>
    </row>
    <row r="14">
      <c r="B14" s="3" t="inlineStr">
        <is>
          <t>Proposta — formulário a ser preenchido pelo fornecedor (16 sistemas + 5 complementares + opcional).</t>
        </is>
      </c>
    </row>
    <row r="15">
      <c r="B15" s="3" t="inlineStr">
        <is>
          <t>Qtd por Pavimento — quantidades e valores distribuídos por pavimento e por bloco (calculado a partir da Memória).</t>
        </is>
      </c>
    </row>
    <row r="16">
      <c r="B16" s="3" t="inlineStr">
        <is>
          <t>Memória por Ambiente — 295 ambientes (+22 do opcional piscina), um por linha, com referência à linha da planilha original.</t>
        </is>
      </c>
    </row>
    <row r="17">
      <c r="B17" s="3" t="inlineStr">
        <is>
          <t>Especificação dos Sistemas — descrição completa de cada código de sistema, conforme projeto.</t>
        </is>
      </c>
    </row>
    <row r="18">
      <c r="B18" s="3" t="inlineStr">
        <is>
          <t>Pendências — inconsistências encontradas na planilha original R03 (uso interno / projetista).</t>
        </is>
      </c>
    </row>
    <row r="19">
      <c r="B19" s="3" t="inlineStr"/>
    </row>
    <row r="20">
      <c r="B20" s="4" t="inlineStr">
        <is>
          <t>LEGENDA:  células amarelas = preenchimento do fornecedor  |  células cinza = totais calculados  |  laranja = opcional piscina</t>
        </is>
      </c>
    </row>
    <row r="21">
      <c r="B2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6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62" customWidth="1" min="3" max="3"/>
    <col width="38" customWidth="1" min="4" max="4"/>
    <col width="5" customWidth="1" min="5" max="5"/>
    <col width="12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>
      <c r="A1" s="6" t="inlineStr">
        <is>
          <t>PROPOSTA — IMPERMEABILIZAÇÃO  |  AZO INCORPORADORA  |  PENÍNSULA RJ - FASE A</t>
        </is>
      </c>
    </row>
    <row r="3">
      <c r="A3" s="7" t="inlineStr">
        <is>
          <t>Empresa:</t>
        </is>
      </c>
      <c r="B3" s="8" t="n"/>
      <c r="C3" s="9" t="n"/>
      <c r="D3" s="10" t="n"/>
    </row>
    <row r="4">
      <c r="A4" s="7" t="inlineStr">
        <is>
          <t>CNPJ:</t>
        </is>
      </c>
      <c r="B4" s="8" t="n"/>
      <c r="C4" s="9" t="n"/>
      <c r="D4" s="10" t="n"/>
    </row>
    <row r="5">
      <c r="A5" s="7" t="inlineStr">
        <is>
          <t>Contato / telefone / e-mail:</t>
        </is>
      </c>
      <c r="B5" s="8" t="n"/>
      <c r="C5" s="9" t="n"/>
      <c r="D5" s="10" t="n"/>
    </row>
    <row r="6">
      <c r="A6" s="7" t="inlineStr">
        <is>
          <t>Data da proposta:</t>
        </is>
      </c>
      <c r="B6" s="8" t="n"/>
      <c r="C6" s="9" t="n"/>
      <c r="D6" s="10" t="n"/>
    </row>
    <row r="7">
      <c r="A7" s="7" t="inlineStr">
        <is>
          <t>Validade da proposta (dias):</t>
        </is>
      </c>
      <c r="B7" s="8" t="n"/>
      <c r="C7" s="9" t="n"/>
      <c r="D7" s="10" t="n"/>
    </row>
    <row r="8">
      <c r="A8" s="7" t="inlineStr">
        <is>
          <t>Prazo de execução estimado:</t>
        </is>
      </c>
      <c r="B8" s="8" t="n"/>
      <c r="C8" s="9" t="n"/>
      <c r="D8" s="10" t="n"/>
    </row>
    <row r="9">
      <c r="A9" s="7" t="inlineStr">
        <is>
          <t>Condição de pagamento:</t>
        </is>
      </c>
      <c r="B9" s="8" t="n"/>
      <c r="C9" s="9" t="n"/>
      <c r="D9" s="10" t="n"/>
    </row>
    <row r="11" ht="42" customHeight="1">
      <c r="A11" s="11" t="inlineStr">
        <is>
          <t>Item</t>
        </is>
      </c>
      <c r="B11" s="11" t="inlineStr">
        <is>
          <t>Código</t>
        </is>
      </c>
      <c r="C11" s="11" t="inlineStr">
        <is>
          <t>Descrição do serviço</t>
        </is>
      </c>
      <c r="D11" s="11" t="inlineStr">
        <is>
          <t>Onde se aplica</t>
        </is>
      </c>
      <c r="E11" s="11" t="inlineStr">
        <is>
          <t>Un.</t>
        </is>
      </c>
      <c r="F11" s="11" t="inlineStr">
        <is>
          <t>Quantidade</t>
        </is>
      </c>
      <c r="G11" s="11" t="inlineStr">
        <is>
          <t>P. unit. material (R$/un)</t>
        </is>
      </c>
      <c r="H11" s="11" t="inlineStr">
        <is>
          <t>P. unit. mão de obra (R$/un)</t>
        </is>
      </c>
      <c r="I11" s="11" t="inlineStr">
        <is>
          <t>P. unit. total (R$/un)</t>
        </is>
      </c>
      <c r="J11" s="11" t="inlineStr">
        <is>
          <t>Total (R$)</t>
        </is>
      </c>
    </row>
    <row r="12">
      <c r="A12" s="12" t="inlineStr">
        <is>
          <t>1</t>
        </is>
      </c>
      <c r="B12" s="12" t="inlineStr">
        <is>
          <t>SISTEMAS DE IMPERMEABILIZAÇÃO (preço por m² de sistema completo)</t>
        </is>
      </c>
    </row>
    <row r="13">
      <c r="A13" s="13" t="inlineStr">
        <is>
          <t>1.01</t>
        </is>
      </c>
      <c r="B13" s="7" t="inlineStr">
        <is>
          <t>I20EL</t>
        </is>
      </c>
      <c r="C13" s="14" t="inlineStr">
        <is>
          <t>[Membranas acrílicas] Membrana de polímero acrílico sem cimento 2,0 kg/m² estruturada c/ tela de poliéster nos pontos críticos</t>
        </is>
      </c>
      <c r="D13" s="14" t="inlineStr">
        <is>
          <t>Banho, Banho Serviço, Lavabo, Comp. Lixo, Tubulação Emergente</t>
        </is>
      </c>
      <c r="E13" s="13" t="inlineStr">
        <is>
          <t>m²</t>
        </is>
      </c>
      <c r="F13" s="15">
        <f>SUMIFS('Memória por Ambiente'!$M$2:$M$296,'Memória por Ambiente'!$I$2:$I$296,B13,'Memória por Ambiente'!$B$2:$B$296,"Base")</f>
        <v/>
      </c>
      <c r="G13" s="16" t="n"/>
      <c r="H13" s="16" t="n"/>
      <c r="I13" s="17">
        <f>G13+H13</f>
        <v/>
      </c>
      <c r="J13" s="17">
        <f>F13*I13</f>
        <v/>
      </c>
    </row>
    <row r="14">
      <c r="A14" s="13" t="inlineStr">
        <is>
          <t>1.02</t>
        </is>
      </c>
      <c r="B14" s="7" t="inlineStr">
        <is>
          <t>I30EL</t>
        </is>
      </c>
      <c r="C14" s="14" t="inlineStr">
        <is>
          <t>[Membranas acrílicas] Membrana de polímero acrílico sem cimento 3,0 kg/m² estruturada c/ tela de poliéster nos pontos críticos</t>
        </is>
      </c>
      <c r="D14" s="14" t="inlineStr">
        <is>
          <t>Terraço, Laje Impermeabilizada, Abas, Abas Terraços, Abas Floreiras</t>
        </is>
      </c>
      <c r="E14" s="13" t="inlineStr">
        <is>
          <t>m²</t>
        </is>
      </c>
      <c r="F14" s="15">
        <f>SUMIFS('Memória por Ambiente'!$M$2:$M$296,'Memória por Ambiente'!$I$2:$I$296,B14,'Memória por Ambiente'!$B$2:$B$296,"Base")</f>
        <v/>
      </c>
      <c r="G14" s="16" t="n"/>
      <c r="H14" s="16" t="n"/>
      <c r="I14" s="17">
        <f>G14+H14</f>
        <v/>
      </c>
      <c r="J14" s="17">
        <f>F14*I14</f>
        <v/>
      </c>
    </row>
    <row r="15">
      <c r="A15" s="13" t="inlineStr">
        <is>
          <t>1.03</t>
        </is>
      </c>
      <c r="B15" s="7" t="inlineStr">
        <is>
          <t>I30</t>
        </is>
      </c>
      <c r="C15" s="14" t="inlineStr">
        <is>
          <t>[Membranas acrílicas] Membrana acrílica 3,0 kg/m² estruturada c/ tela de poliéster nos pontos críticos</t>
        </is>
      </c>
      <c r="D15" s="14" t="inlineStr">
        <is>
          <t>Cobertura Dutos</t>
        </is>
      </c>
      <c r="E15" s="13" t="inlineStr">
        <is>
          <t>m²</t>
        </is>
      </c>
      <c r="F15" s="15">
        <f>SUMIFS('Memória por Ambiente'!$M$2:$M$296,'Memória por Ambiente'!$I$2:$I$296,B15,'Memória por Ambiente'!$B$2:$B$296,"Base")</f>
        <v/>
      </c>
      <c r="G15" s="16" t="n"/>
      <c r="H15" s="16" t="n"/>
      <c r="I15" s="17">
        <f>G15+H15</f>
        <v/>
      </c>
      <c r="J15" s="17">
        <f>F15*I15</f>
        <v/>
      </c>
    </row>
    <row r="16">
      <c r="A16" s="13" t="inlineStr">
        <is>
          <t>1.04</t>
        </is>
      </c>
      <c r="B16" s="7" t="inlineStr">
        <is>
          <t>D2</t>
        </is>
      </c>
      <c r="C16" s="14" t="inlineStr">
        <is>
          <t>[Membranas acrílicas] Membrana de polímero acrílico com cimento 2,0 kg/m² estruturada c/ tela de poliéster</t>
        </is>
      </c>
      <c r="D16" s="14" t="inlineStr">
        <is>
          <t>Parede Ducha</t>
        </is>
      </c>
      <c r="E16" s="13" t="inlineStr">
        <is>
          <t>m²</t>
        </is>
      </c>
      <c r="F16" s="15">
        <f>SUMIFS('Memória por Ambiente'!$M$2:$M$296,'Memória por Ambiente'!$I$2:$I$296,B16,'Memória por Ambiente'!$B$2:$B$296,"Base")</f>
        <v/>
      </c>
      <c r="G16" s="16" t="n"/>
      <c r="H16" s="16" t="n"/>
      <c r="I16" s="17">
        <f>G16+H16</f>
        <v/>
      </c>
      <c r="J16" s="17">
        <f>F16*I16</f>
        <v/>
      </c>
    </row>
    <row r="17">
      <c r="A17" s="13" t="inlineStr">
        <is>
          <t>1.05</t>
        </is>
      </c>
      <c r="B17" s="7" t="inlineStr">
        <is>
          <t>C3</t>
        </is>
      </c>
      <c r="C17" s="14" t="inlineStr">
        <is>
          <t>[Cimentícios] Argamassa polimérica rígida 3,0 kg/m² estruturada c/ tela de poliéster nos pontos críticos</t>
        </is>
      </c>
      <c r="D17" s="14" t="inlineStr">
        <is>
          <t>Terraço, Caixão Perdido</t>
        </is>
      </c>
      <c r="E17" s="13" t="inlineStr">
        <is>
          <t>m²</t>
        </is>
      </c>
      <c r="F17" s="15">
        <f>SUMIFS('Memória por Ambiente'!$M$2:$M$296,'Memória por Ambiente'!$I$2:$I$296,B17,'Memória por Ambiente'!$B$2:$B$296,"Base")</f>
        <v/>
      </c>
      <c r="G17" s="16" t="n"/>
      <c r="H17" s="16" t="n"/>
      <c r="I17" s="17">
        <f>G17+H17</f>
        <v/>
      </c>
      <c r="J17" s="17">
        <f>F17*I17</f>
        <v/>
      </c>
    </row>
    <row r="18">
      <c r="A18" s="13" t="inlineStr">
        <is>
          <t>1.06</t>
        </is>
      </c>
      <c r="B18" s="7" t="inlineStr">
        <is>
          <t>C4</t>
        </is>
      </c>
      <c r="C18" s="14" t="inlineStr">
        <is>
          <t>[Cimentícios] Argamassa polimérica rígida 4,0 kg/m² estruturada c/ tela de poliéster nos pontos críticos</t>
        </is>
      </c>
      <c r="D18" s="14" t="inlineStr">
        <is>
          <t>Barrado</t>
        </is>
      </c>
      <c r="E18" s="13" t="inlineStr">
        <is>
          <t>m²</t>
        </is>
      </c>
      <c r="F18" s="15">
        <f>SUMIFS('Memória por Ambiente'!$M$2:$M$296,'Memória por Ambiente'!$I$2:$I$296,B18,'Memória por Ambiente'!$B$2:$B$296,"Base")</f>
        <v/>
      </c>
      <c r="G18" s="16" t="n"/>
      <c r="H18" s="16" t="n"/>
      <c r="I18" s="17">
        <f>G18+H18</f>
        <v/>
      </c>
      <c r="J18" s="17">
        <f>F18*I18</f>
        <v/>
      </c>
    </row>
    <row r="19">
      <c r="A19" s="13" t="inlineStr">
        <is>
          <t>1.07</t>
        </is>
      </c>
      <c r="B19" s="7" t="inlineStr">
        <is>
          <t>C3I20EL</t>
        </is>
      </c>
      <c r="C19" s="14" t="inlineStr">
        <is>
          <t>[Cimentícios] Argamassa polimérica rígida 3,0 kg/m² + membrana acrílica sem cimento 2,0 kg/m² c/ tela de poliéster</t>
        </is>
      </c>
      <c r="D19" s="14" t="inlineStr">
        <is>
          <t>Banho Master Semi-Elevado</t>
        </is>
      </c>
      <c r="E19" s="13" t="inlineStr">
        <is>
          <t>m²</t>
        </is>
      </c>
      <c r="F19" s="15">
        <f>SUMIFS('Memória por Ambiente'!$M$2:$M$296,'Memória por Ambiente'!$I$2:$I$296,B19,'Memória por Ambiente'!$B$2:$B$296,"Base")</f>
        <v/>
      </c>
      <c r="G19" s="16" t="n"/>
      <c r="H19" s="16" t="n"/>
      <c r="I19" s="17">
        <f>G19+H19</f>
        <v/>
      </c>
      <c r="J19" s="17">
        <f>F19*I19</f>
        <v/>
      </c>
    </row>
    <row r="20">
      <c r="A20" s="13" t="inlineStr">
        <is>
          <t>1.08</t>
        </is>
      </c>
      <c r="B20" s="7" t="inlineStr">
        <is>
          <t>C4RQD3T</t>
        </is>
      </c>
      <c r="C20" s="14" t="inlineStr">
        <is>
          <t>[Cimentícios] Argamassa polimérica rígida alta resist. química 4,0 kg/m² + membrana acrílica c/ cimento 3,0 kg/m² totalmente estruturada</t>
        </is>
      </c>
      <c r="D20" s="14" t="inlineStr">
        <is>
          <t>Caixas de Pluvial / Esgoto</t>
        </is>
      </c>
      <c r="E20" s="13" t="inlineStr">
        <is>
          <t>m²</t>
        </is>
      </c>
      <c r="F20" s="15">
        <f>SUMIFS('Memória por Ambiente'!$M$2:$M$296,'Memória por Ambiente'!$I$2:$I$296,B20,'Memória por Ambiente'!$B$2:$B$296,"Base")</f>
        <v/>
      </c>
      <c r="G20" s="16" t="n"/>
      <c r="H20" s="16" t="n"/>
      <c r="I20" s="17">
        <f>G20+H20</f>
        <v/>
      </c>
      <c r="J20" s="17">
        <f>F20*I20</f>
        <v/>
      </c>
    </row>
    <row r="21">
      <c r="A21" s="13" t="inlineStr">
        <is>
          <t>1.09</t>
        </is>
      </c>
      <c r="B21" s="7" t="inlineStr">
        <is>
          <t>M44A</t>
        </is>
      </c>
      <c r="C21" s="14" t="inlineStr">
        <is>
          <t>[Mantas asfálticas] Manta asfáltica tipo IV 4 mm (A) areia/areia aderida c/ asfalto oxidado 3,0 kg/m² + banho de asfalto 2,0 kg/m² + camada separadora</t>
        </is>
      </c>
      <c r="D21" s="14" t="inlineStr">
        <is>
          <t>Laje Impermeabilizada, Clausura, Escada Privativa, Acessos Privativos, Caixão Perdido</t>
        </is>
      </c>
      <c r="E21" s="13" t="inlineStr">
        <is>
          <t>m²</t>
        </is>
      </c>
      <c r="F21" s="15">
        <f>SUMIFS('Memória por Ambiente'!$M$2:$M$296,'Memória por Ambiente'!$I$2:$I$296,B21,'Memória por Ambiente'!$B$2:$B$296,"Base")</f>
        <v/>
      </c>
      <c r="G21" s="16" t="n"/>
      <c r="H21" s="16" t="n"/>
      <c r="I21" s="17">
        <f>G21+H21</f>
        <v/>
      </c>
      <c r="J21" s="17">
        <f>F21*I21</f>
        <v/>
      </c>
    </row>
    <row r="22">
      <c r="A22" s="13" t="inlineStr">
        <is>
          <t>1.10</t>
        </is>
      </c>
      <c r="B22" s="7" t="inlineStr">
        <is>
          <t>M44AC</t>
        </is>
      </c>
      <c r="C22" s="14" t="inlineStr">
        <is>
          <t>[Mantas asfálticas] Sistema M44A + camada de amortecimento (argamassa 1:8 c/ emulsão asfáltica)</t>
        </is>
      </c>
      <c r="D22" s="14" t="inlineStr">
        <is>
          <t>Rampa de Veículos</t>
        </is>
      </c>
      <c r="E22" s="13" t="inlineStr">
        <is>
          <t>m²</t>
        </is>
      </c>
      <c r="F22" s="15">
        <f>SUMIFS('Memória por Ambiente'!$M$2:$M$296,'Memória por Ambiente'!$I$2:$I$296,B22,'Memória por Ambiente'!$B$2:$B$296,"Base")</f>
        <v/>
      </c>
      <c r="G22" s="16" t="n"/>
      <c r="H22" s="16" t="n"/>
      <c r="I22" s="17">
        <f>G22+H22</f>
        <v/>
      </c>
      <c r="J22" s="17">
        <f>F22*I22</f>
        <v/>
      </c>
    </row>
    <row r="23">
      <c r="A23" s="13" t="inlineStr">
        <is>
          <t>1.11</t>
        </is>
      </c>
      <c r="B23" s="7" t="inlineStr">
        <is>
          <t>M44AD2</t>
        </is>
      </c>
      <c r="C23" s="14" t="inlineStr">
        <is>
          <t>[Mantas asfálticas] Sistema M44A + membrana acrílica c/ cimento 2,0 kg/m² sob revestimento (anti-eflorescência)</t>
        </is>
      </c>
      <c r="D23" s="14" t="inlineStr">
        <is>
          <t>Terraço, Terraço Descoberto, Lazer, Vertedouro</t>
        </is>
      </c>
      <c r="E23" s="13" t="inlineStr">
        <is>
          <t>m²</t>
        </is>
      </c>
      <c r="F23" s="15">
        <f>SUMIFS('Memória por Ambiente'!$M$2:$M$296,'Memória por Ambiente'!$I$2:$I$296,B23,'Memória por Ambiente'!$B$2:$B$296,"Base")</f>
        <v/>
      </c>
      <c r="G23" s="16" t="n"/>
      <c r="H23" s="16" t="n"/>
      <c r="I23" s="17">
        <f>G23+H23</f>
        <v/>
      </c>
      <c r="J23" s="17">
        <f>F23*I23</f>
        <v/>
      </c>
    </row>
    <row r="24">
      <c r="A24" s="13" t="inlineStr">
        <is>
          <t>1.12</t>
        </is>
      </c>
      <c r="B24" s="7" t="inlineStr">
        <is>
          <t>M34AM44AD2</t>
        </is>
      </c>
      <c r="C24" s="14" t="inlineStr">
        <is>
          <t>[Mantas asfálticas] Dupla manta: tipo III 4 mm + tipo IV 4 mm aderidas c/ asfalto oxidado + banho de asfalto + membrana acrílica c/ cimento 2,0 kg/m²</t>
        </is>
      </c>
      <c r="D24" s="14" t="inlineStr">
        <is>
          <t>Riacho, Piscina Raia</t>
        </is>
      </c>
      <c r="E24" s="13" t="inlineStr">
        <is>
          <t>m²</t>
        </is>
      </c>
      <c r="F24" s="15">
        <f>SUMIFS('Memória por Ambiente'!$M$2:$M$296,'Memória por Ambiente'!$I$2:$I$296,B24,'Memória por Ambiente'!$B$2:$B$296,"Base")</f>
        <v/>
      </c>
      <c r="G24" s="16" t="n"/>
      <c r="H24" s="16" t="n"/>
      <c r="I24" s="17">
        <f>G24+H24</f>
        <v/>
      </c>
      <c r="J24" s="17">
        <f>F24*I24</f>
        <v/>
      </c>
    </row>
    <row r="25">
      <c r="A25" s="13" t="inlineStr">
        <is>
          <t>1.13</t>
        </is>
      </c>
      <c r="B25" s="7" t="inlineStr">
        <is>
          <t>M44AR05</t>
        </is>
      </c>
      <c r="C25" s="14" t="inlineStr">
        <is>
          <t>[Mantas asfálticas] Sistema M44A + pintura de proteção antirraiz 0,5 l/m² sobre a proteção mecânica</t>
        </is>
      </c>
      <c r="D25" s="14" t="inlineStr">
        <is>
          <t>Jardim Privativo, Cobertura Verde, Jardim, Jardim Externos, Jardins Externos</t>
        </is>
      </c>
      <c r="E25" s="13" t="inlineStr">
        <is>
          <t>m²</t>
        </is>
      </c>
      <c r="F25" s="15">
        <f>SUMIFS('Memória por Ambiente'!$M$2:$M$296,'Memória por Ambiente'!$I$2:$I$296,B25,'Memória por Ambiente'!$B$2:$B$296,"Base")</f>
        <v/>
      </c>
      <c r="G25" s="16" t="n"/>
      <c r="H25" s="16" t="n"/>
      <c r="I25" s="17">
        <f>G25+H25</f>
        <v/>
      </c>
      <c r="J25" s="17">
        <f>F25*I25</f>
        <v/>
      </c>
    </row>
    <row r="26">
      <c r="A26" s="13" t="inlineStr">
        <is>
          <t>1.14</t>
        </is>
      </c>
      <c r="B26" s="7" t="inlineStr">
        <is>
          <t>M44AXPS</t>
        </is>
      </c>
      <c r="C26" s="14" t="inlineStr">
        <is>
          <t>[Mantas asfálticas] Sistema M44A + isolante térmico em placas de XPS e = 2,5 cm</t>
        </is>
      </c>
      <c r="D26" s="14" t="inlineStr">
        <is>
          <t>Laje Impermeabilizada</t>
        </is>
      </c>
      <c r="E26" s="13" t="inlineStr">
        <is>
          <t>m²</t>
        </is>
      </c>
      <c r="F26" s="15">
        <f>SUMIFS('Memória por Ambiente'!$M$2:$M$296,'Memória por Ambiente'!$I$2:$I$296,B26,'Memória por Ambiente'!$B$2:$B$296,"Base")</f>
        <v/>
      </c>
      <c r="G26" s="16" t="n"/>
      <c r="H26" s="16" t="n"/>
      <c r="I26" s="17">
        <f>G26+H26</f>
        <v/>
      </c>
      <c r="J26" s="17">
        <f>F26*I26</f>
        <v/>
      </c>
    </row>
    <row r="27">
      <c r="A27" s="13" t="inlineStr">
        <is>
          <t>1.15</t>
        </is>
      </c>
      <c r="B27" s="7" t="inlineStr">
        <is>
          <t>JP30A</t>
        </is>
      </c>
      <c r="C27" s="14" t="inlineStr">
        <is>
          <t>[Poliuretano] Primer epóxi + membrana de poliuretano 3,0 kg/m² estruturada + aspersão de agregado de quartzo #8-14 1,5 kg/m²</t>
        </is>
      </c>
      <c r="D27" s="14" t="inlineStr">
        <is>
          <t>Marquise, Caixão Perdido Floreira</t>
        </is>
      </c>
      <c r="E27" s="13" t="inlineStr">
        <is>
          <t>m²</t>
        </is>
      </c>
      <c r="F27" s="15">
        <f>SUMIFS('Memória por Ambiente'!$M$2:$M$296,'Memória por Ambiente'!$I$2:$I$296,B27,'Memória por Ambiente'!$B$2:$B$296,"Base")</f>
        <v/>
      </c>
      <c r="G27" s="16" t="n"/>
      <c r="H27" s="16" t="n"/>
      <c r="I27" s="17">
        <f>G27+H27</f>
        <v/>
      </c>
      <c r="J27" s="17">
        <f>F27*I27</f>
        <v/>
      </c>
    </row>
    <row r="28">
      <c r="A28" s="13" t="inlineStr">
        <is>
          <t>1.16</t>
        </is>
      </c>
      <c r="B28" s="7" t="inlineStr">
        <is>
          <t>JP30AR05</t>
        </is>
      </c>
      <c r="C28" s="14" t="inlineStr">
        <is>
          <t>[Poliuretano] Sistema JP30A + pintura de proteção antirraiz 0,5 l/m² sobre a proteção mecânica</t>
        </is>
      </c>
      <c r="D28" s="14" t="inlineStr">
        <is>
          <t>Floreiras, Floreira</t>
        </is>
      </c>
      <c r="E28" s="13" t="inlineStr">
        <is>
          <t>m²</t>
        </is>
      </c>
      <c r="F28" s="15">
        <f>SUMIFS('Memória por Ambiente'!$M$2:$M$296,'Memória por Ambiente'!$I$2:$I$296,B28,'Memória por Ambiente'!$B$2:$B$296,"Base")</f>
        <v/>
      </c>
      <c r="G28" s="16" t="n"/>
      <c r="H28" s="16" t="n"/>
      <c r="I28" s="17">
        <f>G28+H28</f>
        <v/>
      </c>
      <c r="J28" s="17">
        <f>F28*I28</f>
        <v/>
      </c>
    </row>
    <row r="29">
      <c r="I29" s="18" t="inlineStr">
        <is>
          <t>Subtotal 1</t>
        </is>
      </c>
      <c r="J29" s="19">
        <f>SUM(J13:J28)</f>
        <v/>
      </c>
    </row>
    <row r="31">
      <c r="A31" s="12" t="inlineStr">
        <is>
          <t>2</t>
        </is>
      </c>
      <c r="B31" s="12" t="inlineStr">
        <is>
          <t>SERVIÇOS COMPLEMENTARES (cotar em separado — deixar em branco se não executa)</t>
        </is>
      </c>
    </row>
    <row r="32">
      <c r="A32" s="13" t="inlineStr">
        <is>
          <t>2.01</t>
        </is>
      </c>
      <c r="B32" s="7" t="inlineStr">
        <is>
          <t>CP01</t>
        </is>
      </c>
      <c r="C32" s="14" t="inlineStr">
        <is>
          <t>Regularização / acerto de superfície (argamassa cimento e areia 1:3 c/ aditivo)</t>
        </is>
      </c>
      <c r="D32" s="14" t="inlineStr">
        <is>
          <t>Base da maioria dos sistemas</t>
        </is>
      </c>
      <c r="E32" s="13" t="inlineStr">
        <is>
          <t>m²</t>
        </is>
      </c>
      <c r="F32" s="15">
        <f>SUMIFS('Memória por Ambiente'!$N$2:$N$296,'Memória por Ambiente'!$B$2:$B$296,"Base")</f>
        <v/>
      </c>
      <c r="G32" s="16" t="n"/>
      <c r="H32" s="16" t="n"/>
      <c r="I32" s="17">
        <f>G32+H32</f>
        <v/>
      </c>
      <c r="J32" s="17">
        <f>F32*I32</f>
        <v/>
      </c>
    </row>
    <row r="33">
      <c r="A33" s="13" t="inlineStr">
        <is>
          <t>2.02</t>
        </is>
      </c>
      <c r="B33" s="7" t="inlineStr">
        <is>
          <t>CP02</t>
        </is>
      </c>
      <c r="C33" s="14" t="inlineStr">
        <is>
          <t>Proteção mecânica horizontal (argamassa cimento e areia 1:3)</t>
        </is>
      </c>
      <c r="D33" s="14" t="inlineStr">
        <is>
          <t>Lajes, terraços, jardins, floreiras, caixões perdidos</t>
        </is>
      </c>
      <c r="E33" s="13" t="inlineStr">
        <is>
          <t>m²</t>
        </is>
      </c>
      <c r="F33" s="15">
        <f>SUMIFS('Memória por Ambiente'!$O$2:$O$296,'Memória por Ambiente'!$B$2:$B$296,"Base")</f>
        <v/>
      </c>
      <c r="G33" s="16" t="n"/>
      <c r="H33" s="16" t="n"/>
      <c r="I33" s="17">
        <f>G33+H33</f>
        <v/>
      </c>
      <c r="J33" s="17">
        <f>F33*I33</f>
        <v/>
      </c>
    </row>
    <row r="34">
      <c r="A34" s="13" t="inlineStr">
        <is>
          <t>2.03</t>
        </is>
      </c>
      <c r="B34" s="7" t="inlineStr">
        <is>
          <t>CP03</t>
        </is>
      </c>
      <c r="C34" s="14" t="inlineStr">
        <is>
          <t>Proteção mecânica vertical armada c/ tela plástica ou galvanizada</t>
        </is>
      </c>
      <c r="D34" s="14" t="inlineStr">
        <is>
          <t>Rodapés/paredes de sistemas com manta e jardins</t>
        </is>
      </c>
      <c r="E34" s="13" t="inlineStr">
        <is>
          <t>m²</t>
        </is>
      </c>
      <c r="F34" s="15">
        <f>SUMIFS('Memória por Ambiente'!$P$2:$P$296,'Memória por Ambiente'!$B$2:$B$296,"Base")</f>
        <v/>
      </c>
      <c r="G34" s="16" t="n"/>
      <c r="H34" s="16" t="n"/>
      <c r="I34" s="17">
        <f>G34+H34</f>
        <v/>
      </c>
      <c r="J34" s="17">
        <f>F34*I34</f>
        <v/>
      </c>
    </row>
    <row r="35">
      <c r="A35" s="13" t="inlineStr">
        <is>
          <t>2.04</t>
        </is>
      </c>
      <c r="B35" s="7" t="inlineStr">
        <is>
          <t>CP04</t>
        </is>
      </c>
      <c r="C35" s="14" t="inlineStr">
        <is>
          <t>Proteção mecânica armada em concreto fck 30 MPa c/ tela Q92 (rampas)</t>
        </is>
      </c>
      <c r="D35" s="14" t="inlineStr">
        <is>
          <t>Rampa de veículos (verificar se é da construtora)</t>
        </is>
      </c>
      <c r="E35" s="13" t="inlineStr">
        <is>
          <t>m²</t>
        </is>
      </c>
      <c r="F35" s="15">
        <f>SUMIFS('Memória por Ambiente'!$Q$2:$Q$296,'Memória por Ambiente'!$B$2:$B$296,"Base")</f>
        <v/>
      </c>
      <c r="G35" s="16" t="n"/>
      <c r="H35" s="16" t="n"/>
      <c r="I35" s="17">
        <f>G35+H35</f>
        <v/>
      </c>
      <c r="J35" s="17">
        <f>F35*I35</f>
        <v/>
      </c>
    </row>
    <row r="36">
      <c r="A36" s="13" t="inlineStr">
        <is>
          <t>2.05</t>
        </is>
      </c>
      <c r="B36" s="7" t="inlineStr">
        <is>
          <t>CP05</t>
        </is>
      </c>
      <c r="C36" s="14" t="inlineStr">
        <is>
          <t>Drenagem com geocomposto tipo Macdrain 2L FP (floreiras/jardins)</t>
        </is>
      </c>
      <c r="D36" s="14" t="inlineStr">
        <is>
          <t>Floreiras e jardins sobre laje</t>
        </is>
      </c>
      <c r="E36" s="13" t="inlineStr">
        <is>
          <t>m²</t>
        </is>
      </c>
      <c r="F36" s="15">
        <f>SUMIFS('Memória por Ambiente'!$R$2:$R$296,'Memória por Ambiente'!$B$2:$B$296,"Base")</f>
        <v/>
      </c>
      <c r="G36" s="16" t="n"/>
      <c r="H36" s="16" t="n"/>
      <c r="I36" s="17">
        <f>G36+H36</f>
        <v/>
      </c>
      <c r="J36" s="17">
        <f>F36*I36</f>
        <v/>
      </c>
    </row>
    <row r="37">
      <c r="I37" s="18" t="inlineStr">
        <is>
          <t>Subtotal 2</t>
        </is>
      </c>
      <c r="J37" s="19">
        <f>SUM(J32:J36)</f>
        <v/>
      </c>
    </row>
    <row r="39">
      <c r="C39" s="18" t="inlineStr">
        <is>
          <t>TOTAL BASE (1 + 2)</t>
        </is>
      </c>
      <c r="D39" s="20" t="n"/>
      <c r="E39" s="20" t="n"/>
      <c r="F39" s="20" t="n"/>
      <c r="G39" s="20" t="n"/>
      <c r="H39" s="20" t="n"/>
      <c r="I39" s="20" t="n"/>
      <c r="J39" s="19">
        <f>J29+J37</f>
        <v/>
      </c>
    </row>
    <row r="41">
      <c r="A41" s="21" t="inlineStr">
        <is>
          <t>3</t>
        </is>
      </c>
      <c r="B41" s="21" t="inlineStr">
        <is>
          <t>OPCIONAL — OPÇÃO DE PISCINA (personalização; usa os preços unitários acima; NÃO soma no total base)</t>
        </is>
      </c>
    </row>
    <row r="42">
      <c r="A42" s="13" t="inlineStr">
        <is>
          <t>3.01</t>
        </is>
      </c>
      <c r="B42" s="7" t="inlineStr">
        <is>
          <t>M44A</t>
        </is>
      </c>
      <c r="C42" s="14">
        <f>C21</f>
        <v/>
      </c>
      <c r="D42" s="14" t="inlineStr">
        <is>
          <t>Opção de piscina (térreo e 2º pav.)</t>
        </is>
      </c>
      <c r="E42" s="13" t="inlineStr">
        <is>
          <t>m²</t>
        </is>
      </c>
      <c r="F42" s="15">
        <f>SUMIFS('Memória por Ambiente'!$M$2:$M$296,'Memória por Ambiente'!$I$2:$I$296,B42,'Memória por Ambiente'!$B$2:$B$296,"Opcional piscina")</f>
        <v/>
      </c>
      <c r="G42" s="17">
        <f>G21</f>
        <v/>
      </c>
      <c r="H42" s="17">
        <f>H21</f>
        <v/>
      </c>
      <c r="I42" s="17">
        <f>I21</f>
        <v/>
      </c>
      <c r="J42" s="17">
        <f>F42*I42</f>
        <v/>
      </c>
    </row>
    <row r="43">
      <c r="A43" s="13" t="inlineStr">
        <is>
          <t>3.02</t>
        </is>
      </c>
      <c r="B43" s="7" t="inlineStr">
        <is>
          <t>M44AD2</t>
        </is>
      </c>
      <c r="C43" s="14">
        <f>C23</f>
        <v/>
      </c>
      <c r="D43" s="14" t="inlineStr">
        <is>
          <t>Opção de piscina (térreo e 2º pav.)</t>
        </is>
      </c>
      <c r="E43" s="13" t="inlineStr">
        <is>
          <t>m²</t>
        </is>
      </c>
      <c r="F43" s="15">
        <f>SUMIFS('Memória por Ambiente'!$M$2:$M$296,'Memória por Ambiente'!$I$2:$I$296,B43,'Memória por Ambiente'!$B$2:$B$296,"Opcional piscina")</f>
        <v/>
      </c>
      <c r="G43" s="17">
        <f>G23</f>
        <v/>
      </c>
      <c r="H43" s="17">
        <f>H23</f>
        <v/>
      </c>
      <c r="I43" s="17">
        <f>I23</f>
        <v/>
      </c>
      <c r="J43" s="17">
        <f>F43*I43</f>
        <v/>
      </c>
    </row>
    <row r="44">
      <c r="A44" s="13" t="inlineStr">
        <is>
          <t>3.03</t>
        </is>
      </c>
      <c r="B44" s="7" t="inlineStr">
        <is>
          <t>M34AM44AD2</t>
        </is>
      </c>
      <c r="C44" s="14">
        <f>C24</f>
        <v/>
      </c>
      <c r="D44" s="14" t="inlineStr">
        <is>
          <t>Opção de piscina (térreo e 2º pav.)</t>
        </is>
      </c>
      <c r="E44" s="13" t="inlineStr">
        <is>
          <t>m²</t>
        </is>
      </c>
      <c r="F44" s="15">
        <f>SUMIFS('Memória por Ambiente'!$M$2:$M$296,'Memória por Ambiente'!$I$2:$I$296,B44,'Memória por Ambiente'!$B$2:$B$296,"Opcional piscina")</f>
        <v/>
      </c>
      <c r="G44" s="17">
        <f>G24</f>
        <v/>
      </c>
      <c r="H44" s="17">
        <f>H24</f>
        <v/>
      </c>
      <c r="I44" s="17">
        <f>I24</f>
        <v/>
      </c>
      <c r="J44" s="17">
        <f>F44*I44</f>
        <v/>
      </c>
    </row>
    <row r="45">
      <c r="A45" s="13" t="inlineStr">
        <is>
          <t>3.04</t>
        </is>
      </c>
      <c r="B45" s="7" t="inlineStr">
        <is>
          <t>M44AR05</t>
        </is>
      </c>
      <c r="C45" s="14">
        <f>C25</f>
        <v/>
      </c>
      <c r="D45" s="14" t="inlineStr">
        <is>
          <t>Opção de piscina (térreo e 2º pav.)</t>
        </is>
      </c>
      <c r="E45" s="13" t="inlineStr">
        <is>
          <t>m²</t>
        </is>
      </c>
      <c r="F45" s="15">
        <f>SUMIFS('Memória por Ambiente'!$M$2:$M$296,'Memória por Ambiente'!$I$2:$I$296,B45,'Memória por Ambiente'!$B$2:$B$296,"Opcional piscina")</f>
        <v/>
      </c>
      <c r="G45" s="17">
        <f>G25</f>
        <v/>
      </c>
      <c r="H45" s="17">
        <f>H25</f>
        <v/>
      </c>
      <c r="I45" s="17">
        <f>I25</f>
        <v/>
      </c>
      <c r="J45" s="17">
        <f>F45*I45</f>
        <v/>
      </c>
    </row>
    <row r="46">
      <c r="A46" s="13" t="inlineStr">
        <is>
          <t>3.05</t>
        </is>
      </c>
      <c r="B46" s="7" t="inlineStr">
        <is>
          <t>CP01</t>
        </is>
      </c>
      <c r="C46" s="14">
        <f>C32</f>
        <v/>
      </c>
      <c r="D46" s="14" t="inlineStr">
        <is>
          <t>Opção de piscina</t>
        </is>
      </c>
      <c r="E46" s="13" t="inlineStr">
        <is>
          <t>m²</t>
        </is>
      </c>
      <c r="F46" s="15">
        <f>SUMIFS('Memória por Ambiente'!$N$2:$N$296,'Memória por Ambiente'!$B$2:$B$296,"Opcional piscina")</f>
        <v/>
      </c>
      <c r="G46" s="17">
        <f>G32</f>
        <v/>
      </c>
      <c r="H46" s="17">
        <f>H32</f>
        <v/>
      </c>
      <c r="I46" s="17">
        <f>I32</f>
        <v/>
      </c>
      <c r="J46" s="17">
        <f>F46*I46</f>
        <v/>
      </c>
    </row>
    <row r="47">
      <c r="A47" s="13" t="inlineStr">
        <is>
          <t>3.06</t>
        </is>
      </c>
      <c r="B47" s="7" t="inlineStr">
        <is>
          <t>CP02</t>
        </is>
      </c>
      <c r="C47" s="14">
        <f>C33</f>
        <v/>
      </c>
      <c r="D47" s="14" t="inlineStr">
        <is>
          <t>Opção de piscina</t>
        </is>
      </c>
      <c r="E47" s="13" t="inlineStr">
        <is>
          <t>m²</t>
        </is>
      </c>
      <c r="F47" s="15">
        <f>SUMIFS('Memória por Ambiente'!$O$2:$O$296,'Memória por Ambiente'!$B$2:$B$296,"Opcional piscina")</f>
        <v/>
      </c>
      <c r="G47" s="17">
        <f>G33</f>
        <v/>
      </c>
      <c r="H47" s="17">
        <f>H33</f>
        <v/>
      </c>
      <c r="I47" s="17">
        <f>I33</f>
        <v/>
      </c>
      <c r="J47" s="17">
        <f>F47*I47</f>
        <v/>
      </c>
    </row>
    <row r="48">
      <c r="A48" s="13" t="inlineStr">
        <is>
          <t>3.07</t>
        </is>
      </c>
      <c r="B48" s="7" t="inlineStr">
        <is>
          <t>CP03</t>
        </is>
      </c>
      <c r="C48" s="14">
        <f>C34</f>
        <v/>
      </c>
      <c r="D48" s="14" t="inlineStr">
        <is>
          <t>Opção de piscina</t>
        </is>
      </c>
      <c r="E48" s="13" t="inlineStr">
        <is>
          <t>m²</t>
        </is>
      </c>
      <c r="F48" s="15">
        <f>SUMIFS('Memória por Ambiente'!$P$2:$P$296,'Memória por Ambiente'!$B$2:$B$296,"Opcional piscina")</f>
        <v/>
      </c>
      <c r="G48" s="17">
        <f>G34</f>
        <v/>
      </c>
      <c r="H48" s="17">
        <f>H34</f>
        <v/>
      </c>
      <c r="I48" s="17">
        <f>I34</f>
        <v/>
      </c>
      <c r="J48" s="17">
        <f>F48*I48</f>
        <v/>
      </c>
    </row>
    <row r="49">
      <c r="A49" s="13" t="inlineStr">
        <is>
          <t>3.08</t>
        </is>
      </c>
      <c r="B49" s="7" t="inlineStr">
        <is>
          <t>CP05</t>
        </is>
      </c>
      <c r="C49" s="14">
        <f>C36</f>
        <v/>
      </c>
      <c r="D49" s="14" t="inlineStr">
        <is>
          <t>Opção de piscina</t>
        </is>
      </c>
      <c r="E49" s="13" t="inlineStr">
        <is>
          <t>m²</t>
        </is>
      </c>
      <c r="F49" s="15">
        <f>SUMIFS('Memória por Ambiente'!$R$2:$R$296,'Memória por Ambiente'!$B$2:$B$296,"Opcional piscina")</f>
        <v/>
      </c>
      <c r="G49" s="17">
        <f>G36</f>
        <v/>
      </c>
      <c r="H49" s="17">
        <f>H36</f>
        <v/>
      </c>
      <c r="I49" s="17">
        <f>I36</f>
        <v/>
      </c>
      <c r="J49" s="17">
        <f>F49*I49</f>
        <v/>
      </c>
    </row>
    <row r="50">
      <c r="I50" s="21" t="inlineStr">
        <is>
          <t>Total opcional</t>
        </is>
      </c>
      <c r="J50" s="22">
        <f>SUM(J42:J49)</f>
        <v/>
      </c>
    </row>
    <row r="52">
      <c r="A52" s="12" t="inlineStr">
        <is>
          <t>4</t>
        </is>
      </c>
      <c r="B52" s="12" t="inlineStr">
        <is>
          <t>ESCOPO / CONDIÇÕES (responder Sim ou Não)</t>
        </is>
      </c>
    </row>
    <row r="53">
      <c r="B53" s="14" t="inlineStr">
        <is>
          <t>Preços incluem material + mão de obra + equipamentos e EPIs?</t>
        </is>
      </c>
      <c r="E53" s="23" t="n"/>
    </row>
    <row r="54">
      <c r="B54" s="14" t="inlineStr">
        <is>
          <t>Inclui teste de estanqueidade (lâmina d'água 72 h) em todas as áreas?</t>
        </is>
      </c>
      <c r="E54" s="23" t="n"/>
    </row>
    <row r="55">
      <c r="B55" s="14" t="inlineStr">
        <is>
          <t>Inclui regularização (item 2.01)?</t>
        </is>
      </c>
      <c r="E55" s="23" t="n"/>
    </row>
    <row r="56">
      <c r="B56" s="14" t="inlineStr">
        <is>
          <t>Inclui proteção mecânica horizontal e vertical (itens 2.02 e 2.03)?</t>
        </is>
      </c>
      <c r="E56" s="23" t="n"/>
    </row>
    <row r="57">
      <c r="B57" s="14" t="inlineStr">
        <is>
          <t>Inclui proteção mecânica armada em concreto (item 2.04)?</t>
        </is>
      </c>
      <c r="E57" s="23" t="n"/>
    </row>
    <row r="58">
      <c r="B58" s="14" t="inlineStr">
        <is>
          <t>Inclui fornecimento e instalação da drenagem (item 2.05)?</t>
        </is>
      </c>
      <c r="E58" s="23" t="n"/>
    </row>
    <row r="59">
      <c r="B59" s="14" t="inlineStr">
        <is>
          <t>Inclui mobilização/desmobilização e canteiro?</t>
        </is>
      </c>
      <c r="E59" s="23" t="n"/>
    </row>
    <row r="60">
      <c r="B60" s="14" t="inlineStr">
        <is>
          <t>Inclui ART de execução?</t>
        </is>
      </c>
      <c r="E60" s="23" t="n"/>
    </row>
    <row r="61">
      <c r="B61" s="14" t="inlineStr">
        <is>
          <t>Oferece garantia mínima de 5 anos?</t>
        </is>
      </c>
      <c r="E61" s="23" t="n"/>
    </row>
    <row r="62">
      <c r="B62" s="14" t="inlineStr">
        <is>
          <t>Impostos (ISS, etc.) inclusos nos preços?</t>
        </is>
      </c>
      <c r="E62" s="23" t="n"/>
    </row>
    <row r="64">
      <c r="B64" s="7" t="inlineStr">
        <is>
          <t>Observações / exclusões:</t>
        </is>
      </c>
    </row>
    <row r="65">
      <c r="B65" s="9" t="n"/>
    </row>
    <row r="66"/>
    <row r="67"/>
    <row r="68"/>
  </sheetData>
  <mergeCells count="30">
    <mergeCell ref="C6:D6"/>
    <mergeCell ref="B60:D60"/>
    <mergeCell ref="B61:D61"/>
    <mergeCell ref="B57:D57"/>
    <mergeCell ref="C5:D5"/>
    <mergeCell ref="B65:J68"/>
    <mergeCell ref="B53:D53"/>
    <mergeCell ref="A6:B6"/>
    <mergeCell ref="C4:D4"/>
    <mergeCell ref="A7:B7"/>
    <mergeCell ref="C9:D9"/>
    <mergeCell ref="B55:D55"/>
    <mergeCell ref="A3:B3"/>
    <mergeCell ref="A1:J1"/>
    <mergeCell ref="A5:B5"/>
    <mergeCell ref="B41:J41"/>
    <mergeCell ref="B62:D62"/>
    <mergeCell ref="A8:B8"/>
    <mergeCell ref="C8:D8"/>
    <mergeCell ref="B54:D54"/>
    <mergeCell ref="A4:B4"/>
    <mergeCell ref="B59:D59"/>
    <mergeCell ref="C7:D7"/>
    <mergeCell ref="B31:J31"/>
    <mergeCell ref="B56:D56"/>
    <mergeCell ref="B58:D58"/>
    <mergeCell ref="A9:B9"/>
    <mergeCell ref="B12:J12"/>
    <mergeCell ref="C3:D3"/>
    <mergeCell ref="B52:J52"/>
  </mergeCells>
  <dataValidations count="1">
    <dataValidation sqref="E53 E54 E55 E56 E57 E58 E59 E60 E61 E62" showDropDown="0" showInputMessage="0" showErrorMessage="0" allowBlank="1" type="list">
      <formula1>"Sim,Não"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3" customWidth="1" min="1" max="1"/>
    <col width="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4" t="inlineStr">
        <is>
          <t>Quantidades e valores por pavimento — grupo Base (sem opcional piscina). Valores = quantidade × preço unitário total da aba Proposta.</t>
        </is>
      </c>
    </row>
    <row r="3">
      <c r="A3" s="12" t="inlineStr">
        <is>
          <t>QUANTIDADES (m²) POR PAVIMENTO</t>
        </is>
      </c>
    </row>
    <row r="4">
      <c r="A4" s="11" t="inlineStr">
        <is>
          <t>Código</t>
        </is>
      </c>
      <c r="B4" s="11" t="inlineStr">
        <is>
          <t>Un.</t>
        </is>
      </c>
      <c r="C4" s="11" t="inlineStr">
        <is>
          <t>1º Subsolo</t>
        </is>
      </c>
      <c r="D4" s="11" t="inlineStr">
        <is>
          <t>Térreo</t>
        </is>
      </c>
      <c r="E4" s="11" t="inlineStr">
        <is>
          <t>1º Pavimento</t>
        </is>
      </c>
      <c r="F4" s="11" t="inlineStr">
        <is>
          <t>2º Pavimento</t>
        </is>
      </c>
      <c r="G4" s="11" t="inlineStr">
        <is>
          <t>Cobertura</t>
        </is>
      </c>
      <c r="H4" s="11" t="inlineStr">
        <is>
          <t>Total</t>
        </is>
      </c>
    </row>
    <row r="5">
      <c r="A5" s="7" t="inlineStr">
        <is>
          <t>I20EL</t>
        </is>
      </c>
      <c r="B5" s="13" t="inlineStr">
        <is>
          <t>m²</t>
        </is>
      </c>
      <c r="C5" s="25">
        <f>SUMIFS('Memória por Ambiente'!$M$2:$M$296,'Memória por Ambiente'!$C$2:$C$296,"1º Subsolo",'Memória por Ambiente'!$B$2:$B$296,"Base",'Memória por Ambiente'!$I$2:$I$296,$A5)</f>
        <v/>
      </c>
      <c r="D5" s="25">
        <f>SUMIFS('Memória por Ambiente'!$M$2:$M$296,'Memória por Ambiente'!$C$2:$C$296,"Térreo",'Memória por Ambiente'!$B$2:$B$296,"Base",'Memória por Ambiente'!$I$2:$I$296,$A5)</f>
        <v/>
      </c>
      <c r="E5" s="25">
        <f>SUMIFS('Memória por Ambiente'!$M$2:$M$296,'Memória por Ambiente'!$C$2:$C$296,"1º Pavimento",'Memória por Ambiente'!$B$2:$B$296,"Base",'Memória por Ambiente'!$I$2:$I$296,$A5)</f>
        <v/>
      </c>
      <c r="F5" s="25">
        <f>SUMIFS('Memória por Ambiente'!$M$2:$M$296,'Memória por Ambiente'!$C$2:$C$296,"2º Pavimento",'Memória por Ambiente'!$B$2:$B$296,"Base",'Memória por Ambiente'!$I$2:$I$296,$A5)</f>
        <v/>
      </c>
      <c r="G5" s="25">
        <f>SUMIFS('Memória por Ambiente'!$M$2:$M$296,'Memória por Ambiente'!$C$2:$C$296,"Cobertura",'Memória por Ambiente'!$B$2:$B$296,"Base",'Memória por Ambiente'!$I$2:$I$296,$A5)</f>
        <v/>
      </c>
      <c r="H5" s="26">
        <f>SUM(C5:G5)</f>
        <v/>
      </c>
    </row>
    <row r="6">
      <c r="A6" s="7" t="inlineStr">
        <is>
          <t>I30EL</t>
        </is>
      </c>
      <c r="B6" s="13" t="inlineStr">
        <is>
          <t>m²</t>
        </is>
      </c>
      <c r="C6" s="25">
        <f>SUMIFS('Memória por Ambiente'!$M$2:$M$296,'Memória por Ambiente'!$C$2:$C$296,"1º Subsolo",'Memória por Ambiente'!$B$2:$B$296,"Base",'Memória por Ambiente'!$I$2:$I$296,$A6)</f>
        <v/>
      </c>
      <c r="D6" s="25">
        <f>SUMIFS('Memória por Ambiente'!$M$2:$M$296,'Memória por Ambiente'!$C$2:$C$296,"Térreo",'Memória por Ambiente'!$B$2:$B$296,"Base",'Memória por Ambiente'!$I$2:$I$296,$A6)</f>
        <v/>
      </c>
      <c r="E6" s="25">
        <f>SUMIFS('Memória por Ambiente'!$M$2:$M$296,'Memória por Ambiente'!$C$2:$C$296,"1º Pavimento",'Memória por Ambiente'!$B$2:$B$296,"Base",'Memória por Ambiente'!$I$2:$I$296,$A6)</f>
        <v/>
      </c>
      <c r="F6" s="25">
        <f>SUMIFS('Memória por Ambiente'!$M$2:$M$296,'Memória por Ambiente'!$C$2:$C$296,"2º Pavimento",'Memória por Ambiente'!$B$2:$B$296,"Base",'Memória por Ambiente'!$I$2:$I$296,$A6)</f>
        <v/>
      </c>
      <c r="G6" s="25">
        <f>SUMIFS('Memória por Ambiente'!$M$2:$M$296,'Memória por Ambiente'!$C$2:$C$296,"Cobertura",'Memória por Ambiente'!$B$2:$B$296,"Base",'Memória por Ambiente'!$I$2:$I$296,$A6)</f>
        <v/>
      </c>
      <c r="H6" s="26">
        <f>SUM(C6:G6)</f>
        <v/>
      </c>
    </row>
    <row r="7">
      <c r="A7" s="7" t="inlineStr">
        <is>
          <t>I30</t>
        </is>
      </c>
      <c r="B7" s="13" t="inlineStr">
        <is>
          <t>m²</t>
        </is>
      </c>
      <c r="C7" s="25">
        <f>SUMIFS('Memória por Ambiente'!$M$2:$M$296,'Memória por Ambiente'!$C$2:$C$296,"1º Subsolo",'Memória por Ambiente'!$B$2:$B$296,"Base",'Memória por Ambiente'!$I$2:$I$296,$A7)</f>
        <v/>
      </c>
      <c r="D7" s="25">
        <f>SUMIFS('Memória por Ambiente'!$M$2:$M$296,'Memória por Ambiente'!$C$2:$C$296,"Térreo",'Memória por Ambiente'!$B$2:$B$296,"Base",'Memória por Ambiente'!$I$2:$I$296,$A7)</f>
        <v/>
      </c>
      <c r="E7" s="25">
        <f>SUMIFS('Memória por Ambiente'!$M$2:$M$296,'Memória por Ambiente'!$C$2:$C$296,"1º Pavimento",'Memória por Ambiente'!$B$2:$B$296,"Base",'Memória por Ambiente'!$I$2:$I$296,$A7)</f>
        <v/>
      </c>
      <c r="F7" s="25">
        <f>SUMIFS('Memória por Ambiente'!$M$2:$M$296,'Memória por Ambiente'!$C$2:$C$296,"2º Pavimento",'Memória por Ambiente'!$B$2:$B$296,"Base",'Memória por Ambiente'!$I$2:$I$296,$A7)</f>
        <v/>
      </c>
      <c r="G7" s="25">
        <f>SUMIFS('Memória por Ambiente'!$M$2:$M$296,'Memória por Ambiente'!$C$2:$C$296,"Cobertura",'Memória por Ambiente'!$B$2:$B$296,"Base",'Memória por Ambiente'!$I$2:$I$296,$A7)</f>
        <v/>
      </c>
      <c r="H7" s="26">
        <f>SUM(C7:G7)</f>
        <v/>
      </c>
    </row>
    <row r="8">
      <c r="A8" s="7" t="inlineStr">
        <is>
          <t>D2</t>
        </is>
      </c>
      <c r="B8" s="13" t="inlineStr">
        <is>
          <t>m²</t>
        </is>
      </c>
      <c r="C8" s="25">
        <f>SUMIFS('Memória por Ambiente'!$M$2:$M$296,'Memória por Ambiente'!$C$2:$C$296,"1º Subsolo",'Memória por Ambiente'!$B$2:$B$296,"Base",'Memória por Ambiente'!$I$2:$I$296,$A8)</f>
        <v/>
      </c>
      <c r="D8" s="25">
        <f>SUMIFS('Memória por Ambiente'!$M$2:$M$296,'Memória por Ambiente'!$C$2:$C$296,"Térreo",'Memória por Ambiente'!$B$2:$B$296,"Base",'Memória por Ambiente'!$I$2:$I$296,$A8)</f>
        <v/>
      </c>
      <c r="E8" s="25">
        <f>SUMIFS('Memória por Ambiente'!$M$2:$M$296,'Memória por Ambiente'!$C$2:$C$296,"1º Pavimento",'Memória por Ambiente'!$B$2:$B$296,"Base",'Memória por Ambiente'!$I$2:$I$296,$A8)</f>
        <v/>
      </c>
      <c r="F8" s="25">
        <f>SUMIFS('Memória por Ambiente'!$M$2:$M$296,'Memória por Ambiente'!$C$2:$C$296,"2º Pavimento",'Memória por Ambiente'!$B$2:$B$296,"Base",'Memória por Ambiente'!$I$2:$I$296,$A8)</f>
        <v/>
      </c>
      <c r="G8" s="25">
        <f>SUMIFS('Memória por Ambiente'!$M$2:$M$296,'Memória por Ambiente'!$C$2:$C$296,"Cobertura",'Memória por Ambiente'!$B$2:$B$296,"Base",'Memória por Ambiente'!$I$2:$I$296,$A8)</f>
        <v/>
      </c>
      <c r="H8" s="26">
        <f>SUM(C8:G8)</f>
        <v/>
      </c>
    </row>
    <row r="9">
      <c r="A9" s="7" t="inlineStr">
        <is>
          <t>C3</t>
        </is>
      </c>
      <c r="B9" s="13" t="inlineStr">
        <is>
          <t>m²</t>
        </is>
      </c>
      <c r="C9" s="25">
        <f>SUMIFS('Memória por Ambiente'!$M$2:$M$296,'Memória por Ambiente'!$C$2:$C$296,"1º Subsolo",'Memória por Ambiente'!$B$2:$B$296,"Base",'Memória por Ambiente'!$I$2:$I$296,$A9)</f>
        <v/>
      </c>
      <c r="D9" s="25">
        <f>SUMIFS('Memória por Ambiente'!$M$2:$M$296,'Memória por Ambiente'!$C$2:$C$296,"Térreo",'Memória por Ambiente'!$B$2:$B$296,"Base",'Memória por Ambiente'!$I$2:$I$296,$A9)</f>
        <v/>
      </c>
      <c r="E9" s="25">
        <f>SUMIFS('Memória por Ambiente'!$M$2:$M$296,'Memória por Ambiente'!$C$2:$C$296,"1º Pavimento",'Memória por Ambiente'!$B$2:$B$296,"Base",'Memória por Ambiente'!$I$2:$I$296,$A9)</f>
        <v/>
      </c>
      <c r="F9" s="25">
        <f>SUMIFS('Memória por Ambiente'!$M$2:$M$296,'Memória por Ambiente'!$C$2:$C$296,"2º Pavimento",'Memória por Ambiente'!$B$2:$B$296,"Base",'Memória por Ambiente'!$I$2:$I$296,$A9)</f>
        <v/>
      </c>
      <c r="G9" s="25">
        <f>SUMIFS('Memória por Ambiente'!$M$2:$M$296,'Memória por Ambiente'!$C$2:$C$296,"Cobertura",'Memória por Ambiente'!$B$2:$B$296,"Base",'Memória por Ambiente'!$I$2:$I$296,$A9)</f>
        <v/>
      </c>
      <c r="H9" s="26">
        <f>SUM(C9:G9)</f>
        <v/>
      </c>
    </row>
    <row r="10">
      <c r="A10" s="7" t="inlineStr">
        <is>
          <t>C4</t>
        </is>
      </c>
      <c r="B10" s="13" t="inlineStr">
        <is>
          <t>m²</t>
        </is>
      </c>
      <c r="C10" s="25">
        <f>SUMIFS('Memória por Ambiente'!$M$2:$M$296,'Memória por Ambiente'!$C$2:$C$296,"1º Subsolo",'Memória por Ambiente'!$B$2:$B$296,"Base",'Memória por Ambiente'!$I$2:$I$296,$A10)</f>
        <v/>
      </c>
      <c r="D10" s="25">
        <f>SUMIFS('Memória por Ambiente'!$M$2:$M$296,'Memória por Ambiente'!$C$2:$C$296,"Térreo",'Memória por Ambiente'!$B$2:$B$296,"Base",'Memória por Ambiente'!$I$2:$I$296,$A10)</f>
        <v/>
      </c>
      <c r="E10" s="25">
        <f>SUMIFS('Memória por Ambiente'!$M$2:$M$296,'Memória por Ambiente'!$C$2:$C$296,"1º Pavimento",'Memória por Ambiente'!$B$2:$B$296,"Base",'Memória por Ambiente'!$I$2:$I$296,$A10)</f>
        <v/>
      </c>
      <c r="F10" s="25">
        <f>SUMIFS('Memória por Ambiente'!$M$2:$M$296,'Memória por Ambiente'!$C$2:$C$296,"2º Pavimento",'Memória por Ambiente'!$B$2:$B$296,"Base",'Memória por Ambiente'!$I$2:$I$296,$A10)</f>
        <v/>
      </c>
      <c r="G10" s="25">
        <f>SUMIFS('Memória por Ambiente'!$M$2:$M$296,'Memória por Ambiente'!$C$2:$C$296,"Cobertura",'Memória por Ambiente'!$B$2:$B$296,"Base",'Memória por Ambiente'!$I$2:$I$296,$A10)</f>
        <v/>
      </c>
      <c r="H10" s="26">
        <f>SUM(C10:G10)</f>
        <v/>
      </c>
    </row>
    <row r="11">
      <c r="A11" s="7" t="inlineStr">
        <is>
          <t>C3I20EL</t>
        </is>
      </c>
      <c r="B11" s="13" t="inlineStr">
        <is>
          <t>m²</t>
        </is>
      </c>
      <c r="C11" s="25">
        <f>SUMIFS('Memória por Ambiente'!$M$2:$M$296,'Memória por Ambiente'!$C$2:$C$296,"1º Subsolo",'Memória por Ambiente'!$B$2:$B$296,"Base",'Memória por Ambiente'!$I$2:$I$296,$A11)</f>
        <v/>
      </c>
      <c r="D11" s="25">
        <f>SUMIFS('Memória por Ambiente'!$M$2:$M$296,'Memória por Ambiente'!$C$2:$C$296,"Térreo",'Memória por Ambiente'!$B$2:$B$296,"Base",'Memória por Ambiente'!$I$2:$I$296,$A11)</f>
        <v/>
      </c>
      <c r="E11" s="25">
        <f>SUMIFS('Memória por Ambiente'!$M$2:$M$296,'Memória por Ambiente'!$C$2:$C$296,"1º Pavimento",'Memória por Ambiente'!$B$2:$B$296,"Base",'Memória por Ambiente'!$I$2:$I$296,$A11)</f>
        <v/>
      </c>
      <c r="F11" s="25">
        <f>SUMIFS('Memória por Ambiente'!$M$2:$M$296,'Memória por Ambiente'!$C$2:$C$296,"2º Pavimento",'Memória por Ambiente'!$B$2:$B$296,"Base",'Memória por Ambiente'!$I$2:$I$296,$A11)</f>
        <v/>
      </c>
      <c r="G11" s="25">
        <f>SUMIFS('Memória por Ambiente'!$M$2:$M$296,'Memória por Ambiente'!$C$2:$C$296,"Cobertura",'Memória por Ambiente'!$B$2:$B$296,"Base",'Memória por Ambiente'!$I$2:$I$296,$A11)</f>
        <v/>
      </c>
      <c r="H11" s="26">
        <f>SUM(C11:G11)</f>
        <v/>
      </c>
    </row>
    <row r="12">
      <c r="A12" s="7" t="inlineStr">
        <is>
          <t>C4RQD3T</t>
        </is>
      </c>
      <c r="B12" s="13" t="inlineStr">
        <is>
          <t>m²</t>
        </is>
      </c>
      <c r="C12" s="25">
        <f>SUMIFS('Memória por Ambiente'!$M$2:$M$296,'Memória por Ambiente'!$C$2:$C$296,"1º Subsolo",'Memória por Ambiente'!$B$2:$B$296,"Base",'Memória por Ambiente'!$I$2:$I$296,$A12)</f>
        <v/>
      </c>
      <c r="D12" s="25">
        <f>SUMIFS('Memória por Ambiente'!$M$2:$M$296,'Memória por Ambiente'!$C$2:$C$296,"Térreo",'Memória por Ambiente'!$B$2:$B$296,"Base",'Memória por Ambiente'!$I$2:$I$296,$A12)</f>
        <v/>
      </c>
      <c r="E12" s="25">
        <f>SUMIFS('Memória por Ambiente'!$M$2:$M$296,'Memória por Ambiente'!$C$2:$C$296,"1º Pavimento",'Memória por Ambiente'!$B$2:$B$296,"Base",'Memória por Ambiente'!$I$2:$I$296,$A12)</f>
        <v/>
      </c>
      <c r="F12" s="25">
        <f>SUMIFS('Memória por Ambiente'!$M$2:$M$296,'Memória por Ambiente'!$C$2:$C$296,"2º Pavimento",'Memória por Ambiente'!$B$2:$B$296,"Base",'Memória por Ambiente'!$I$2:$I$296,$A12)</f>
        <v/>
      </c>
      <c r="G12" s="25">
        <f>SUMIFS('Memória por Ambiente'!$M$2:$M$296,'Memória por Ambiente'!$C$2:$C$296,"Cobertura",'Memória por Ambiente'!$B$2:$B$296,"Base",'Memória por Ambiente'!$I$2:$I$296,$A12)</f>
        <v/>
      </c>
      <c r="H12" s="26">
        <f>SUM(C12:G12)</f>
        <v/>
      </c>
    </row>
    <row r="13">
      <c r="A13" s="7" t="inlineStr">
        <is>
          <t>M44A</t>
        </is>
      </c>
      <c r="B13" s="13" t="inlineStr">
        <is>
          <t>m²</t>
        </is>
      </c>
      <c r="C13" s="25">
        <f>SUMIFS('Memória por Ambiente'!$M$2:$M$296,'Memória por Ambiente'!$C$2:$C$296,"1º Subsolo",'Memória por Ambiente'!$B$2:$B$296,"Base",'Memória por Ambiente'!$I$2:$I$296,$A13)</f>
        <v/>
      </c>
      <c r="D13" s="25">
        <f>SUMIFS('Memória por Ambiente'!$M$2:$M$296,'Memória por Ambiente'!$C$2:$C$296,"Térreo",'Memória por Ambiente'!$B$2:$B$296,"Base",'Memória por Ambiente'!$I$2:$I$296,$A13)</f>
        <v/>
      </c>
      <c r="E13" s="25">
        <f>SUMIFS('Memória por Ambiente'!$M$2:$M$296,'Memória por Ambiente'!$C$2:$C$296,"1º Pavimento",'Memória por Ambiente'!$B$2:$B$296,"Base",'Memória por Ambiente'!$I$2:$I$296,$A13)</f>
        <v/>
      </c>
      <c r="F13" s="25">
        <f>SUMIFS('Memória por Ambiente'!$M$2:$M$296,'Memória por Ambiente'!$C$2:$C$296,"2º Pavimento",'Memória por Ambiente'!$B$2:$B$296,"Base",'Memória por Ambiente'!$I$2:$I$296,$A13)</f>
        <v/>
      </c>
      <c r="G13" s="25">
        <f>SUMIFS('Memória por Ambiente'!$M$2:$M$296,'Memória por Ambiente'!$C$2:$C$296,"Cobertura",'Memória por Ambiente'!$B$2:$B$296,"Base",'Memória por Ambiente'!$I$2:$I$296,$A13)</f>
        <v/>
      </c>
      <c r="H13" s="26">
        <f>SUM(C13:G13)</f>
        <v/>
      </c>
    </row>
    <row r="14">
      <c r="A14" s="7" t="inlineStr">
        <is>
          <t>M44AC</t>
        </is>
      </c>
      <c r="B14" s="13" t="inlineStr">
        <is>
          <t>m²</t>
        </is>
      </c>
      <c r="C14" s="25">
        <f>SUMIFS('Memória por Ambiente'!$M$2:$M$296,'Memória por Ambiente'!$C$2:$C$296,"1º Subsolo",'Memória por Ambiente'!$B$2:$B$296,"Base",'Memória por Ambiente'!$I$2:$I$296,$A14)</f>
        <v/>
      </c>
      <c r="D14" s="25">
        <f>SUMIFS('Memória por Ambiente'!$M$2:$M$296,'Memória por Ambiente'!$C$2:$C$296,"Térreo",'Memória por Ambiente'!$B$2:$B$296,"Base",'Memória por Ambiente'!$I$2:$I$296,$A14)</f>
        <v/>
      </c>
      <c r="E14" s="25">
        <f>SUMIFS('Memória por Ambiente'!$M$2:$M$296,'Memória por Ambiente'!$C$2:$C$296,"1º Pavimento",'Memória por Ambiente'!$B$2:$B$296,"Base",'Memória por Ambiente'!$I$2:$I$296,$A14)</f>
        <v/>
      </c>
      <c r="F14" s="25">
        <f>SUMIFS('Memória por Ambiente'!$M$2:$M$296,'Memória por Ambiente'!$C$2:$C$296,"2º Pavimento",'Memória por Ambiente'!$B$2:$B$296,"Base",'Memória por Ambiente'!$I$2:$I$296,$A14)</f>
        <v/>
      </c>
      <c r="G14" s="25">
        <f>SUMIFS('Memória por Ambiente'!$M$2:$M$296,'Memória por Ambiente'!$C$2:$C$296,"Cobertura",'Memória por Ambiente'!$B$2:$B$296,"Base",'Memória por Ambiente'!$I$2:$I$296,$A14)</f>
        <v/>
      </c>
      <c r="H14" s="26">
        <f>SUM(C14:G14)</f>
        <v/>
      </c>
    </row>
    <row r="15">
      <c r="A15" s="7" t="inlineStr">
        <is>
          <t>M44AD2</t>
        </is>
      </c>
      <c r="B15" s="13" t="inlineStr">
        <is>
          <t>m²</t>
        </is>
      </c>
      <c r="C15" s="25">
        <f>SUMIFS('Memória por Ambiente'!$M$2:$M$296,'Memória por Ambiente'!$C$2:$C$296,"1º Subsolo",'Memória por Ambiente'!$B$2:$B$296,"Base",'Memória por Ambiente'!$I$2:$I$296,$A15)</f>
        <v/>
      </c>
      <c r="D15" s="25">
        <f>SUMIFS('Memória por Ambiente'!$M$2:$M$296,'Memória por Ambiente'!$C$2:$C$296,"Térreo",'Memória por Ambiente'!$B$2:$B$296,"Base",'Memória por Ambiente'!$I$2:$I$296,$A15)</f>
        <v/>
      </c>
      <c r="E15" s="25">
        <f>SUMIFS('Memória por Ambiente'!$M$2:$M$296,'Memória por Ambiente'!$C$2:$C$296,"1º Pavimento",'Memória por Ambiente'!$B$2:$B$296,"Base",'Memória por Ambiente'!$I$2:$I$296,$A15)</f>
        <v/>
      </c>
      <c r="F15" s="25">
        <f>SUMIFS('Memória por Ambiente'!$M$2:$M$296,'Memória por Ambiente'!$C$2:$C$296,"2º Pavimento",'Memória por Ambiente'!$B$2:$B$296,"Base",'Memória por Ambiente'!$I$2:$I$296,$A15)</f>
        <v/>
      </c>
      <c r="G15" s="25">
        <f>SUMIFS('Memória por Ambiente'!$M$2:$M$296,'Memória por Ambiente'!$C$2:$C$296,"Cobertura",'Memória por Ambiente'!$B$2:$B$296,"Base",'Memória por Ambiente'!$I$2:$I$296,$A15)</f>
        <v/>
      </c>
      <c r="H15" s="26">
        <f>SUM(C15:G15)</f>
        <v/>
      </c>
    </row>
    <row r="16">
      <c r="A16" s="7" t="inlineStr">
        <is>
          <t>M34AM44AD2</t>
        </is>
      </c>
      <c r="B16" s="13" t="inlineStr">
        <is>
          <t>m²</t>
        </is>
      </c>
      <c r="C16" s="25">
        <f>SUMIFS('Memória por Ambiente'!$M$2:$M$296,'Memória por Ambiente'!$C$2:$C$296,"1º Subsolo",'Memória por Ambiente'!$B$2:$B$296,"Base",'Memória por Ambiente'!$I$2:$I$296,$A16)</f>
        <v/>
      </c>
      <c r="D16" s="25">
        <f>SUMIFS('Memória por Ambiente'!$M$2:$M$296,'Memória por Ambiente'!$C$2:$C$296,"Térreo",'Memória por Ambiente'!$B$2:$B$296,"Base",'Memória por Ambiente'!$I$2:$I$296,$A16)</f>
        <v/>
      </c>
      <c r="E16" s="25">
        <f>SUMIFS('Memória por Ambiente'!$M$2:$M$296,'Memória por Ambiente'!$C$2:$C$296,"1º Pavimento",'Memória por Ambiente'!$B$2:$B$296,"Base",'Memória por Ambiente'!$I$2:$I$296,$A16)</f>
        <v/>
      </c>
      <c r="F16" s="25">
        <f>SUMIFS('Memória por Ambiente'!$M$2:$M$296,'Memória por Ambiente'!$C$2:$C$296,"2º Pavimento",'Memória por Ambiente'!$B$2:$B$296,"Base",'Memória por Ambiente'!$I$2:$I$296,$A16)</f>
        <v/>
      </c>
      <c r="G16" s="25">
        <f>SUMIFS('Memória por Ambiente'!$M$2:$M$296,'Memória por Ambiente'!$C$2:$C$296,"Cobertura",'Memória por Ambiente'!$B$2:$B$296,"Base",'Memória por Ambiente'!$I$2:$I$296,$A16)</f>
        <v/>
      </c>
      <c r="H16" s="26">
        <f>SUM(C16:G16)</f>
        <v/>
      </c>
    </row>
    <row r="17">
      <c r="A17" s="7" t="inlineStr">
        <is>
          <t>M44AR05</t>
        </is>
      </c>
      <c r="B17" s="13" t="inlineStr">
        <is>
          <t>m²</t>
        </is>
      </c>
      <c r="C17" s="25">
        <f>SUMIFS('Memória por Ambiente'!$M$2:$M$296,'Memória por Ambiente'!$C$2:$C$296,"1º Subsolo",'Memória por Ambiente'!$B$2:$B$296,"Base",'Memória por Ambiente'!$I$2:$I$296,$A17)</f>
        <v/>
      </c>
      <c r="D17" s="25">
        <f>SUMIFS('Memória por Ambiente'!$M$2:$M$296,'Memória por Ambiente'!$C$2:$C$296,"Térreo",'Memória por Ambiente'!$B$2:$B$296,"Base",'Memória por Ambiente'!$I$2:$I$296,$A17)</f>
        <v/>
      </c>
      <c r="E17" s="25">
        <f>SUMIFS('Memória por Ambiente'!$M$2:$M$296,'Memória por Ambiente'!$C$2:$C$296,"1º Pavimento",'Memória por Ambiente'!$B$2:$B$296,"Base",'Memória por Ambiente'!$I$2:$I$296,$A17)</f>
        <v/>
      </c>
      <c r="F17" s="25">
        <f>SUMIFS('Memória por Ambiente'!$M$2:$M$296,'Memória por Ambiente'!$C$2:$C$296,"2º Pavimento",'Memória por Ambiente'!$B$2:$B$296,"Base",'Memória por Ambiente'!$I$2:$I$296,$A17)</f>
        <v/>
      </c>
      <c r="G17" s="25">
        <f>SUMIFS('Memória por Ambiente'!$M$2:$M$296,'Memória por Ambiente'!$C$2:$C$296,"Cobertura",'Memória por Ambiente'!$B$2:$B$296,"Base",'Memória por Ambiente'!$I$2:$I$296,$A17)</f>
        <v/>
      </c>
      <c r="H17" s="26">
        <f>SUM(C17:G17)</f>
        <v/>
      </c>
    </row>
    <row r="18">
      <c r="A18" s="7" t="inlineStr">
        <is>
          <t>M44AXPS</t>
        </is>
      </c>
      <c r="B18" s="13" t="inlineStr">
        <is>
          <t>m²</t>
        </is>
      </c>
      <c r="C18" s="25">
        <f>SUMIFS('Memória por Ambiente'!$M$2:$M$296,'Memória por Ambiente'!$C$2:$C$296,"1º Subsolo",'Memória por Ambiente'!$B$2:$B$296,"Base",'Memória por Ambiente'!$I$2:$I$296,$A18)</f>
        <v/>
      </c>
      <c r="D18" s="25">
        <f>SUMIFS('Memória por Ambiente'!$M$2:$M$296,'Memória por Ambiente'!$C$2:$C$296,"Térreo",'Memória por Ambiente'!$B$2:$B$296,"Base",'Memória por Ambiente'!$I$2:$I$296,$A18)</f>
        <v/>
      </c>
      <c r="E18" s="25">
        <f>SUMIFS('Memória por Ambiente'!$M$2:$M$296,'Memória por Ambiente'!$C$2:$C$296,"1º Pavimento",'Memória por Ambiente'!$B$2:$B$296,"Base",'Memória por Ambiente'!$I$2:$I$296,$A18)</f>
        <v/>
      </c>
      <c r="F18" s="25">
        <f>SUMIFS('Memória por Ambiente'!$M$2:$M$296,'Memória por Ambiente'!$C$2:$C$296,"2º Pavimento",'Memória por Ambiente'!$B$2:$B$296,"Base",'Memória por Ambiente'!$I$2:$I$296,$A18)</f>
        <v/>
      </c>
      <c r="G18" s="25">
        <f>SUMIFS('Memória por Ambiente'!$M$2:$M$296,'Memória por Ambiente'!$C$2:$C$296,"Cobertura",'Memória por Ambiente'!$B$2:$B$296,"Base",'Memória por Ambiente'!$I$2:$I$296,$A18)</f>
        <v/>
      </c>
      <c r="H18" s="26">
        <f>SUM(C18:G18)</f>
        <v/>
      </c>
    </row>
    <row r="19">
      <c r="A19" s="7" t="inlineStr">
        <is>
          <t>JP30A</t>
        </is>
      </c>
      <c r="B19" s="13" t="inlineStr">
        <is>
          <t>m²</t>
        </is>
      </c>
      <c r="C19" s="25">
        <f>SUMIFS('Memória por Ambiente'!$M$2:$M$296,'Memória por Ambiente'!$C$2:$C$296,"1º Subsolo",'Memória por Ambiente'!$B$2:$B$296,"Base",'Memória por Ambiente'!$I$2:$I$296,$A19)</f>
        <v/>
      </c>
      <c r="D19" s="25">
        <f>SUMIFS('Memória por Ambiente'!$M$2:$M$296,'Memória por Ambiente'!$C$2:$C$296,"Térreo",'Memória por Ambiente'!$B$2:$B$296,"Base",'Memória por Ambiente'!$I$2:$I$296,$A19)</f>
        <v/>
      </c>
      <c r="E19" s="25">
        <f>SUMIFS('Memória por Ambiente'!$M$2:$M$296,'Memória por Ambiente'!$C$2:$C$296,"1º Pavimento",'Memória por Ambiente'!$B$2:$B$296,"Base",'Memória por Ambiente'!$I$2:$I$296,$A19)</f>
        <v/>
      </c>
      <c r="F19" s="25">
        <f>SUMIFS('Memória por Ambiente'!$M$2:$M$296,'Memória por Ambiente'!$C$2:$C$296,"2º Pavimento",'Memória por Ambiente'!$B$2:$B$296,"Base",'Memória por Ambiente'!$I$2:$I$296,$A19)</f>
        <v/>
      </c>
      <c r="G19" s="25">
        <f>SUMIFS('Memória por Ambiente'!$M$2:$M$296,'Memória por Ambiente'!$C$2:$C$296,"Cobertura",'Memória por Ambiente'!$B$2:$B$296,"Base",'Memória por Ambiente'!$I$2:$I$296,$A19)</f>
        <v/>
      </c>
      <c r="H19" s="26">
        <f>SUM(C19:G19)</f>
        <v/>
      </c>
    </row>
    <row r="20">
      <c r="A20" s="7" t="inlineStr">
        <is>
          <t>JP30AR05</t>
        </is>
      </c>
      <c r="B20" s="13" t="inlineStr">
        <is>
          <t>m²</t>
        </is>
      </c>
      <c r="C20" s="25">
        <f>SUMIFS('Memória por Ambiente'!$M$2:$M$296,'Memória por Ambiente'!$C$2:$C$296,"1º Subsolo",'Memória por Ambiente'!$B$2:$B$296,"Base",'Memória por Ambiente'!$I$2:$I$296,$A20)</f>
        <v/>
      </c>
      <c r="D20" s="25">
        <f>SUMIFS('Memória por Ambiente'!$M$2:$M$296,'Memória por Ambiente'!$C$2:$C$296,"Térreo",'Memória por Ambiente'!$B$2:$B$296,"Base",'Memória por Ambiente'!$I$2:$I$296,$A20)</f>
        <v/>
      </c>
      <c r="E20" s="25">
        <f>SUMIFS('Memória por Ambiente'!$M$2:$M$296,'Memória por Ambiente'!$C$2:$C$296,"1º Pavimento",'Memória por Ambiente'!$B$2:$B$296,"Base",'Memória por Ambiente'!$I$2:$I$296,$A20)</f>
        <v/>
      </c>
      <c r="F20" s="25">
        <f>SUMIFS('Memória por Ambiente'!$M$2:$M$296,'Memória por Ambiente'!$C$2:$C$296,"2º Pavimento",'Memória por Ambiente'!$B$2:$B$296,"Base",'Memória por Ambiente'!$I$2:$I$296,$A20)</f>
        <v/>
      </c>
      <c r="G20" s="25">
        <f>SUMIFS('Memória por Ambiente'!$M$2:$M$296,'Memória por Ambiente'!$C$2:$C$296,"Cobertura",'Memória por Ambiente'!$B$2:$B$296,"Base",'Memória por Ambiente'!$I$2:$I$296,$A20)</f>
        <v/>
      </c>
      <c r="H20" s="26">
        <f>SUM(C20:G20)</f>
        <v/>
      </c>
    </row>
    <row r="21">
      <c r="A21" s="7" t="inlineStr">
        <is>
          <t>CP01</t>
        </is>
      </c>
      <c r="B21" s="13" t="inlineStr">
        <is>
          <t>m²</t>
        </is>
      </c>
      <c r="C21" s="25">
        <f>SUMIFS('Memória por Ambiente'!$N$2:$N$296,'Memória por Ambiente'!$C$2:$C$296,"1º Subsolo",'Memória por Ambiente'!$B$2:$B$296,"Base")</f>
        <v/>
      </c>
      <c r="D21" s="25">
        <f>SUMIFS('Memória por Ambiente'!$N$2:$N$296,'Memória por Ambiente'!$C$2:$C$296,"Térreo",'Memória por Ambiente'!$B$2:$B$296,"Base")</f>
        <v/>
      </c>
      <c r="E21" s="25">
        <f>SUMIFS('Memória por Ambiente'!$N$2:$N$296,'Memória por Ambiente'!$C$2:$C$296,"1º Pavimento",'Memória por Ambiente'!$B$2:$B$296,"Base")</f>
        <v/>
      </c>
      <c r="F21" s="25">
        <f>SUMIFS('Memória por Ambiente'!$N$2:$N$296,'Memória por Ambiente'!$C$2:$C$296,"2º Pavimento",'Memória por Ambiente'!$B$2:$B$296,"Base")</f>
        <v/>
      </c>
      <c r="G21" s="25">
        <f>SUMIFS('Memória por Ambiente'!$N$2:$N$296,'Memória por Ambiente'!$C$2:$C$296,"Cobertura",'Memória por Ambiente'!$B$2:$B$296,"Base")</f>
        <v/>
      </c>
      <c r="H21" s="26">
        <f>SUM(C21:G21)</f>
        <v/>
      </c>
    </row>
    <row r="22">
      <c r="A22" s="7" t="inlineStr">
        <is>
          <t>CP02</t>
        </is>
      </c>
      <c r="B22" s="13" t="inlineStr">
        <is>
          <t>m²</t>
        </is>
      </c>
      <c r="C22" s="25">
        <f>SUMIFS('Memória por Ambiente'!$O$2:$O$296,'Memória por Ambiente'!$C$2:$C$296,"1º Subsolo",'Memória por Ambiente'!$B$2:$B$296,"Base")</f>
        <v/>
      </c>
      <c r="D22" s="25">
        <f>SUMIFS('Memória por Ambiente'!$O$2:$O$296,'Memória por Ambiente'!$C$2:$C$296,"Térreo",'Memória por Ambiente'!$B$2:$B$296,"Base")</f>
        <v/>
      </c>
      <c r="E22" s="25">
        <f>SUMIFS('Memória por Ambiente'!$O$2:$O$296,'Memória por Ambiente'!$C$2:$C$296,"1º Pavimento",'Memória por Ambiente'!$B$2:$B$296,"Base")</f>
        <v/>
      </c>
      <c r="F22" s="25">
        <f>SUMIFS('Memória por Ambiente'!$O$2:$O$296,'Memória por Ambiente'!$C$2:$C$296,"2º Pavimento",'Memória por Ambiente'!$B$2:$B$296,"Base")</f>
        <v/>
      </c>
      <c r="G22" s="25">
        <f>SUMIFS('Memória por Ambiente'!$O$2:$O$296,'Memória por Ambiente'!$C$2:$C$296,"Cobertura",'Memória por Ambiente'!$B$2:$B$296,"Base")</f>
        <v/>
      </c>
      <c r="H22" s="26">
        <f>SUM(C22:G22)</f>
        <v/>
      </c>
    </row>
    <row r="23">
      <c r="A23" s="7" t="inlineStr">
        <is>
          <t>CP03</t>
        </is>
      </c>
      <c r="B23" s="13" t="inlineStr">
        <is>
          <t>m²</t>
        </is>
      </c>
      <c r="C23" s="25">
        <f>SUMIFS('Memória por Ambiente'!$P$2:$P$296,'Memória por Ambiente'!$C$2:$C$296,"1º Subsolo",'Memória por Ambiente'!$B$2:$B$296,"Base")</f>
        <v/>
      </c>
      <c r="D23" s="25">
        <f>SUMIFS('Memória por Ambiente'!$P$2:$P$296,'Memória por Ambiente'!$C$2:$C$296,"Térreo",'Memória por Ambiente'!$B$2:$B$296,"Base")</f>
        <v/>
      </c>
      <c r="E23" s="25">
        <f>SUMIFS('Memória por Ambiente'!$P$2:$P$296,'Memória por Ambiente'!$C$2:$C$296,"1º Pavimento",'Memória por Ambiente'!$B$2:$B$296,"Base")</f>
        <v/>
      </c>
      <c r="F23" s="25">
        <f>SUMIFS('Memória por Ambiente'!$P$2:$P$296,'Memória por Ambiente'!$C$2:$C$296,"2º Pavimento",'Memória por Ambiente'!$B$2:$B$296,"Base")</f>
        <v/>
      </c>
      <c r="G23" s="25">
        <f>SUMIFS('Memória por Ambiente'!$P$2:$P$296,'Memória por Ambiente'!$C$2:$C$296,"Cobertura",'Memória por Ambiente'!$B$2:$B$296,"Base")</f>
        <v/>
      </c>
      <c r="H23" s="26">
        <f>SUM(C23:G23)</f>
        <v/>
      </c>
    </row>
    <row r="24">
      <c r="A24" s="7" t="inlineStr">
        <is>
          <t>CP04</t>
        </is>
      </c>
      <c r="B24" s="13" t="inlineStr">
        <is>
          <t>m²</t>
        </is>
      </c>
      <c r="C24" s="25">
        <f>SUMIFS('Memória por Ambiente'!$Q$2:$Q$296,'Memória por Ambiente'!$C$2:$C$296,"1º Subsolo",'Memória por Ambiente'!$B$2:$B$296,"Base")</f>
        <v/>
      </c>
      <c r="D24" s="25">
        <f>SUMIFS('Memória por Ambiente'!$Q$2:$Q$296,'Memória por Ambiente'!$C$2:$C$296,"Térreo",'Memória por Ambiente'!$B$2:$B$296,"Base")</f>
        <v/>
      </c>
      <c r="E24" s="25">
        <f>SUMIFS('Memória por Ambiente'!$Q$2:$Q$296,'Memória por Ambiente'!$C$2:$C$296,"1º Pavimento",'Memória por Ambiente'!$B$2:$B$296,"Base")</f>
        <v/>
      </c>
      <c r="F24" s="25">
        <f>SUMIFS('Memória por Ambiente'!$Q$2:$Q$296,'Memória por Ambiente'!$C$2:$C$296,"2º Pavimento",'Memória por Ambiente'!$B$2:$B$296,"Base")</f>
        <v/>
      </c>
      <c r="G24" s="25">
        <f>SUMIFS('Memória por Ambiente'!$Q$2:$Q$296,'Memória por Ambiente'!$C$2:$C$296,"Cobertura",'Memória por Ambiente'!$B$2:$B$296,"Base")</f>
        <v/>
      </c>
      <c r="H24" s="26">
        <f>SUM(C24:G24)</f>
        <v/>
      </c>
    </row>
    <row r="25">
      <c r="A25" s="7" t="inlineStr">
        <is>
          <t>CP05</t>
        </is>
      </c>
      <c r="B25" s="13" t="inlineStr">
        <is>
          <t>m²</t>
        </is>
      </c>
      <c r="C25" s="25">
        <f>SUMIFS('Memória por Ambiente'!$R$2:$R$296,'Memória por Ambiente'!$C$2:$C$296,"1º Subsolo",'Memória por Ambiente'!$B$2:$B$296,"Base")</f>
        <v/>
      </c>
      <c r="D25" s="25">
        <f>SUMIFS('Memória por Ambiente'!$R$2:$R$296,'Memória por Ambiente'!$C$2:$C$296,"Térreo",'Memória por Ambiente'!$B$2:$B$296,"Base")</f>
        <v/>
      </c>
      <c r="E25" s="25">
        <f>SUMIFS('Memória por Ambiente'!$R$2:$R$296,'Memória por Ambiente'!$C$2:$C$296,"1º Pavimento",'Memória por Ambiente'!$B$2:$B$296,"Base")</f>
        <v/>
      </c>
      <c r="F25" s="25">
        <f>SUMIFS('Memória por Ambiente'!$R$2:$R$296,'Memória por Ambiente'!$C$2:$C$296,"2º Pavimento",'Memória por Ambiente'!$B$2:$B$296,"Base")</f>
        <v/>
      </c>
      <c r="G25" s="25">
        <f>SUMIFS('Memória por Ambiente'!$R$2:$R$296,'Memória por Ambiente'!$C$2:$C$296,"Cobertura",'Memória por Ambiente'!$B$2:$B$296,"Base")</f>
        <v/>
      </c>
      <c r="H25" s="26">
        <f>SUM(C25:G25)</f>
        <v/>
      </c>
    </row>
    <row r="27">
      <c r="A27" s="12" t="inlineStr">
        <is>
          <t>VALORES (R$) POR PAVIMENTO</t>
        </is>
      </c>
    </row>
    <row r="28">
      <c r="A28" s="11" t="inlineStr">
        <is>
          <t>Código</t>
        </is>
      </c>
      <c r="B28" s="11" t="inlineStr">
        <is>
          <t>Un.</t>
        </is>
      </c>
      <c r="C28" s="11" t="inlineStr">
        <is>
          <t>1º Subsolo</t>
        </is>
      </c>
      <c r="D28" s="11" t="inlineStr">
        <is>
          <t>Térreo</t>
        </is>
      </c>
      <c r="E28" s="11" t="inlineStr">
        <is>
          <t>1º Pavimento</t>
        </is>
      </c>
      <c r="F28" s="11" t="inlineStr">
        <is>
          <t>2º Pavimento</t>
        </is>
      </c>
      <c r="G28" s="11" t="inlineStr">
        <is>
          <t>Cobertura</t>
        </is>
      </c>
      <c r="H28" s="11" t="inlineStr">
        <is>
          <t>Total</t>
        </is>
      </c>
    </row>
    <row r="29">
      <c r="A29" s="7" t="inlineStr">
        <is>
          <t>I20EL</t>
        </is>
      </c>
      <c r="B29" s="13" t="inlineStr">
        <is>
          <t>R$</t>
        </is>
      </c>
      <c r="C29" s="27">
        <f>SUMIFS('Memória por Ambiente'!$M$2:$M$296,'Memória por Ambiente'!$C$2:$C$296,"1º Subsolo",'Memória por Ambiente'!$B$2:$B$296,"Base",'Memória por Ambiente'!$I$2:$I$296,$A29)*Proposta!$I$13</f>
        <v/>
      </c>
      <c r="D29" s="27">
        <f>SUMIFS('Memória por Ambiente'!$M$2:$M$296,'Memória por Ambiente'!$C$2:$C$296,"Térreo",'Memória por Ambiente'!$B$2:$B$296,"Base",'Memória por Ambiente'!$I$2:$I$296,$A29)*Proposta!$I$13</f>
        <v/>
      </c>
      <c r="E29" s="27">
        <f>SUMIFS('Memória por Ambiente'!$M$2:$M$296,'Memória por Ambiente'!$C$2:$C$296,"1º Pavimento",'Memória por Ambiente'!$B$2:$B$296,"Base",'Memória por Ambiente'!$I$2:$I$296,$A29)*Proposta!$I$13</f>
        <v/>
      </c>
      <c r="F29" s="27">
        <f>SUMIFS('Memória por Ambiente'!$M$2:$M$296,'Memória por Ambiente'!$C$2:$C$296,"2º Pavimento",'Memória por Ambiente'!$B$2:$B$296,"Base",'Memória por Ambiente'!$I$2:$I$296,$A29)*Proposta!$I$13</f>
        <v/>
      </c>
      <c r="G29" s="27">
        <f>SUMIFS('Memória por Ambiente'!$M$2:$M$296,'Memória por Ambiente'!$C$2:$C$296,"Cobertura",'Memória por Ambiente'!$B$2:$B$296,"Base",'Memória por Ambiente'!$I$2:$I$296,$A29)*Proposta!$I$13</f>
        <v/>
      </c>
      <c r="H29" s="19">
        <f>SUM(C29:G29)</f>
        <v/>
      </c>
    </row>
    <row r="30">
      <c r="A30" s="7" t="inlineStr">
        <is>
          <t>I30EL</t>
        </is>
      </c>
      <c r="B30" s="13" t="inlineStr">
        <is>
          <t>R$</t>
        </is>
      </c>
      <c r="C30" s="27">
        <f>SUMIFS('Memória por Ambiente'!$M$2:$M$296,'Memória por Ambiente'!$C$2:$C$296,"1º Subsolo",'Memória por Ambiente'!$B$2:$B$296,"Base",'Memória por Ambiente'!$I$2:$I$296,$A30)*Proposta!$I$14</f>
        <v/>
      </c>
      <c r="D30" s="27">
        <f>SUMIFS('Memória por Ambiente'!$M$2:$M$296,'Memória por Ambiente'!$C$2:$C$296,"Térreo",'Memória por Ambiente'!$B$2:$B$296,"Base",'Memória por Ambiente'!$I$2:$I$296,$A30)*Proposta!$I$14</f>
        <v/>
      </c>
      <c r="E30" s="27">
        <f>SUMIFS('Memória por Ambiente'!$M$2:$M$296,'Memória por Ambiente'!$C$2:$C$296,"1º Pavimento",'Memória por Ambiente'!$B$2:$B$296,"Base",'Memória por Ambiente'!$I$2:$I$296,$A30)*Proposta!$I$14</f>
        <v/>
      </c>
      <c r="F30" s="27">
        <f>SUMIFS('Memória por Ambiente'!$M$2:$M$296,'Memória por Ambiente'!$C$2:$C$296,"2º Pavimento",'Memória por Ambiente'!$B$2:$B$296,"Base",'Memória por Ambiente'!$I$2:$I$296,$A30)*Proposta!$I$14</f>
        <v/>
      </c>
      <c r="G30" s="27">
        <f>SUMIFS('Memória por Ambiente'!$M$2:$M$296,'Memória por Ambiente'!$C$2:$C$296,"Cobertura",'Memória por Ambiente'!$B$2:$B$296,"Base",'Memória por Ambiente'!$I$2:$I$296,$A30)*Proposta!$I$14</f>
        <v/>
      </c>
      <c r="H30" s="19">
        <f>SUM(C30:G30)</f>
        <v/>
      </c>
    </row>
    <row r="31">
      <c r="A31" s="7" t="inlineStr">
        <is>
          <t>I30</t>
        </is>
      </c>
      <c r="B31" s="13" t="inlineStr">
        <is>
          <t>R$</t>
        </is>
      </c>
      <c r="C31" s="27">
        <f>SUMIFS('Memória por Ambiente'!$M$2:$M$296,'Memória por Ambiente'!$C$2:$C$296,"1º Subsolo",'Memória por Ambiente'!$B$2:$B$296,"Base",'Memória por Ambiente'!$I$2:$I$296,$A31)*Proposta!$I$15</f>
        <v/>
      </c>
      <c r="D31" s="27">
        <f>SUMIFS('Memória por Ambiente'!$M$2:$M$296,'Memória por Ambiente'!$C$2:$C$296,"Térreo",'Memória por Ambiente'!$B$2:$B$296,"Base",'Memória por Ambiente'!$I$2:$I$296,$A31)*Proposta!$I$15</f>
        <v/>
      </c>
      <c r="E31" s="27">
        <f>SUMIFS('Memória por Ambiente'!$M$2:$M$296,'Memória por Ambiente'!$C$2:$C$296,"1º Pavimento",'Memória por Ambiente'!$B$2:$B$296,"Base",'Memória por Ambiente'!$I$2:$I$296,$A31)*Proposta!$I$15</f>
        <v/>
      </c>
      <c r="F31" s="27">
        <f>SUMIFS('Memória por Ambiente'!$M$2:$M$296,'Memória por Ambiente'!$C$2:$C$296,"2º Pavimento",'Memória por Ambiente'!$B$2:$B$296,"Base",'Memória por Ambiente'!$I$2:$I$296,$A31)*Proposta!$I$15</f>
        <v/>
      </c>
      <c r="G31" s="27">
        <f>SUMIFS('Memória por Ambiente'!$M$2:$M$296,'Memória por Ambiente'!$C$2:$C$296,"Cobertura",'Memória por Ambiente'!$B$2:$B$296,"Base",'Memória por Ambiente'!$I$2:$I$296,$A31)*Proposta!$I$15</f>
        <v/>
      </c>
      <c r="H31" s="19">
        <f>SUM(C31:G31)</f>
        <v/>
      </c>
    </row>
    <row r="32">
      <c r="A32" s="7" t="inlineStr">
        <is>
          <t>D2</t>
        </is>
      </c>
      <c r="B32" s="13" t="inlineStr">
        <is>
          <t>R$</t>
        </is>
      </c>
      <c r="C32" s="27">
        <f>SUMIFS('Memória por Ambiente'!$M$2:$M$296,'Memória por Ambiente'!$C$2:$C$296,"1º Subsolo",'Memória por Ambiente'!$B$2:$B$296,"Base",'Memória por Ambiente'!$I$2:$I$296,$A32)*Proposta!$I$16</f>
        <v/>
      </c>
      <c r="D32" s="27">
        <f>SUMIFS('Memória por Ambiente'!$M$2:$M$296,'Memória por Ambiente'!$C$2:$C$296,"Térreo",'Memória por Ambiente'!$B$2:$B$296,"Base",'Memória por Ambiente'!$I$2:$I$296,$A32)*Proposta!$I$16</f>
        <v/>
      </c>
      <c r="E32" s="27">
        <f>SUMIFS('Memória por Ambiente'!$M$2:$M$296,'Memória por Ambiente'!$C$2:$C$296,"1º Pavimento",'Memória por Ambiente'!$B$2:$B$296,"Base",'Memória por Ambiente'!$I$2:$I$296,$A32)*Proposta!$I$16</f>
        <v/>
      </c>
      <c r="F32" s="27">
        <f>SUMIFS('Memória por Ambiente'!$M$2:$M$296,'Memória por Ambiente'!$C$2:$C$296,"2º Pavimento",'Memória por Ambiente'!$B$2:$B$296,"Base",'Memória por Ambiente'!$I$2:$I$296,$A32)*Proposta!$I$16</f>
        <v/>
      </c>
      <c r="G32" s="27">
        <f>SUMIFS('Memória por Ambiente'!$M$2:$M$296,'Memória por Ambiente'!$C$2:$C$296,"Cobertura",'Memória por Ambiente'!$B$2:$B$296,"Base",'Memória por Ambiente'!$I$2:$I$296,$A32)*Proposta!$I$16</f>
        <v/>
      </c>
      <c r="H32" s="19">
        <f>SUM(C32:G32)</f>
        <v/>
      </c>
    </row>
    <row r="33">
      <c r="A33" s="7" t="inlineStr">
        <is>
          <t>C3</t>
        </is>
      </c>
      <c r="B33" s="13" t="inlineStr">
        <is>
          <t>R$</t>
        </is>
      </c>
      <c r="C33" s="27">
        <f>SUMIFS('Memória por Ambiente'!$M$2:$M$296,'Memória por Ambiente'!$C$2:$C$296,"1º Subsolo",'Memória por Ambiente'!$B$2:$B$296,"Base",'Memória por Ambiente'!$I$2:$I$296,$A33)*Proposta!$I$17</f>
        <v/>
      </c>
      <c r="D33" s="27">
        <f>SUMIFS('Memória por Ambiente'!$M$2:$M$296,'Memória por Ambiente'!$C$2:$C$296,"Térreo",'Memória por Ambiente'!$B$2:$B$296,"Base",'Memória por Ambiente'!$I$2:$I$296,$A33)*Proposta!$I$17</f>
        <v/>
      </c>
      <c r="E33" s="27">
        <f>SUMIFS('Memória por Ambiente'!$M$2:$M$296,'Memória por Ambiente'!$C$2:$C$296,"1º Pavimento",'Memória por Ambiente'!$B$2:$B$296,"Base",'Memória por Ambiente'!$I$2:$I$296,$A33)*Proposta!$I$17</f>
        <v/>
      </c>
      <c r="F33" s="27">
        <f>SUMIFS('Memória por Ambiente'!$M$2:$M$296,'Memória por Ambiente'!$C$2:$C$296,"2º Pavimento",'Memória por Ambiente'!$B$2:$B$296,"Base",'Memória por Ambiente'!$I$2:$I$296,$A33)*Proposta!$I$17</f>
        <v/>
      </c>
      <c r="G33" s="27">
        <f>SUMIFS('Memória por Ambiente'!$M$2:$M$296,'Memória por Ambiente'!$C$2:$C$296,"Cobertura",'Memória por Ambiente'!$B$2:$B$296,"Base",'Memória por Ambiente'!$I$2:$I$296,$A33)*Proposta!$I$17</f>
        <v/>
      </c>
      <c r="H33" s="19">
        <f>SUM(C33:G33)</f>
        <v/>
      </c>
    </row>
    <row r="34">
      <c r="A34" s="7" t="inlineStr">
        <is>
          <t>C4</t>
        </is>
      </c>
      <c r="B34" s="13" t="inlineStr">
        <is>
          <t>R$</t>
        </is>
      </c>
      <c r="C34" s="27">
        <f>SUMIFS('Memória por Ambiente'!$M$2:$M$296,'Memória por Ambiente'!$C$2:$C$296,"1º Subsolo",'Memória por Ambiente'!$B$2:$B$296,"Base",'Memória por Ambiente'!$I$2:$I$296,$A34)*Proposta!$I$18</f>
        <v/>
      </c>
      <c r="D34" s="27">
        <f>SUMIFS('Memória por Ambiente'!$M$2:$M$296,'Memória por Ambiente'!$C$2:$C$296,"Térreo",'Memória por Ambiente'!$B$2:$B$296,"Base",'Memória por Ambiente'!$I$2:$I$296,$A34)*Proposta!$I$18</f>
        <v/>
      </c>
      <c r="E34" s="27">
        <f>SUMIFS('Memória por Ambiente'!$M$2:$M$296,'Memória por Ambiente'!$C$2:$C$296,"1º Pavimento",'Memória por Ambiente'!$B$2:$B$296,"Base",'Memória por Ambiente'!$I$2:$I$296,$A34)*Proposta!$I$18</f>
        <v/>
      </c>
      <c r="F34" s="27">
        <f>SUMIFS('Memória por Ambiente'!$M$2:$M$296,'Memória por Ambiente'!$C$2:$C$296,"2º Pavimento",'Memória por Ambiente'!$B$2:$B$296,"Base",'Memória por Ambiente'!$I$2:$I$296,$A34)*Proposta!$I$18</f>
        <v/>
      </c>
      <c r="G34" s="27">
        <f>SUMIFS('Memória por Ambiente'!$M$2:$M$296,'Memória por Ambiente'!$C$2:$C$296,"Cobertura",'Memória por Ambiente'!$B$2:$B$296,"Base",'Memória por Ambiente'!$I$2:$I$296,$A34)*Proposta!$I$18</f>
        <v/>
      </c>
      <c r="H34" s="19">
        <f>SUM(C34:G34)</f>
        <v/>
      </c>
    </row>
    <row r="35">
      <c r="A35" s="7" t="inlineStr">
        <is>
          <t>C3I20EL</t>
        </is>
      </c>
      <c r="B35" s="13" t="inlineStr">
        <is>
          <t>R$</t>
        </is>
      </c>
      <c r="C35" s="27">
        <f>SUMIFS('Memória por Ambiente'!$M$2:$M$296,'Memória por Ambiente'!$C$2:$C$296,"1º Subsolo",'Memória por Ambiente'!$B$2:$B$296,"Base",'Memória por Ambiente'!$I$2:$I$296,$A35)*Proposta!$I$19</f>
        <v/>
      </c>
      <c r="D35" s="27">
        <f>SUMIFS('Memória por Ambiente'!$M$2:$M$296,'Memória por Ambiente'!$C$2:$C$296,"Térreo",'Memória por Ambiente'!$B$2:$B$296,"Base",'Memória por Ambiente'!$I$2:$I$296,$A35)*Proposta!$I$19</f>
        <v/>
      </c>
      <c r="E35" s="27">
        <f>SUMIFS('Memória por Ambiente'!$M$2:$M$296,'Memória por Ambiente'!$C$2:$C$296,"1º Pavimento",'Memória por Ambiente'!$B$2:$B$296,"Base",'Memória por Ambiente'!$I$2:$I$296,$A35)*Proposta!$I$19</f>
        <v/>
      </c>
      <c r="F35" s="27">
        <f>SUMIFS('Memória por Ambiente'!$M$2:$M$296,'Memória por Ambiente'!$C$2:$C$296,"2º Pavimento",'Memória por Ambiente'!$B$2:$B$296,"Base",'Memória por Ambiente'!$I$2:$I$296,$A35)*Proposta!$I$19</f>
        <v/>
      </c>
      <c r="G35" s="27">
        <f>SUMIFS('Memória por Ambiente'!$M$2:$M$296,'Memória por Ambiente'!$C$2:$C$296,"Cobertura",'Memória por Ambiente'!$B$2:$B$296,"Base",'Memória por Ambiente'!$I$2:$I$296,$A35)*Proposta!$I$19</f>
        <v/>
      </c>
      <c r="H35" s="19">
        <f>SUM(C35:G35)</f>
        <v/>
      </c>
    </row>
    <row r="36">
      <c r="A36" s="7" t="inlineStr">
        <is>
          <t>C4RQD3T</t>
        </is>
      </c>
      <c r="B36" s="13" t="inlineStr">
        <is>
          <t>R$</t>
        </is>
      </c>
      <c r="C36" s="27">
        <f>SUMIFS('Memória por Ambiente'!$M$2:$M$296,'Memória por Ambiente'!$C$2:$C$296,"1º Subsolo",'Memória por Ambiente'!$B$2:$B$296,"Base",'Memória por Ambiente'!$I$2:$I$296,$A36)*Proposta!$I$20</f>
        <v/>
      </c>
      <c r="D36" s="27">
        <f>SUMIFS('Memória por Ambiente'!$M$2:$M$296,'Memória por Ambiente'!$C$2:$C$296,"Térreo",'Memória por Ambiente'!$B$2:$B$296,"Base",'Memória por Ambiente'!$I$2:$I$296,$A36)*Proposta!$I$20</f>
        <v/>
      </c>
      <c r="E36" s="27">
        <f>SUMIFS('Memória por Ambiente'!$M$2:$M$296,'Memória por Ambiente'!$C$2:$C$296,"1º Pavimento",'Memória por Ambiente'!$B$2:$B$296,"Base",'Memória por Ambiente'!$I$2:$I$296,$A36)*Proposta!$I$20</f>
        <v/>
      </c>
      <c r="F36" s="27">
        <f>SUMIFS('Memória por Ambiente'!$M$2:$M$296,'Memória por Ambiente'!$C$2:$C$296,"2º Pavimento",'Memória por Ambiente'!$B$2:$B$296,"Base",'Memória por Ambiente'!$I$2:$I$296,$A36)*Proposta!$I$20</f>
        <v/>
      </c>
      <c r="G36" s="27">
        <f>SUMIFS('Memória por Ambiente'!$M$2:$M$296,'Memória por Ambiente'!$C$2:$C$296,"Cobertura",'Memória por Ambiente'!$B$2:$B$296,"Base",'Memória por Ambiente'!$I$2:$I$296,$A36)*Proposta!$I$20</f>
        <v/>
      </c>
      <c r="H36" s="19">
        <f>SUM(C36:G36)</f>
        <v/>
      </c>
    </row>
    <row r="37">
      <c r="A37" s="7" t="inlineStr">
        <is>
          <t>M44A</t>
        </is>
      </c>
      <c r="B37" s="13" t="inlineStr">
        <is>
          <t>R$</t>
        </is>
      </c>
      <c r="C37" s="27">
        <f>SUMIFS('Memória por Ambiente'!$M$2:$M$296,'Memória por Ambiente'!$C$2:$C$296,"1º Subsolo",'Memória por Ambiente'!$B$2:$B$296,"Base",'Memória por Ambiente'!$I$2:$I$296,$A37)*Proposta!$I$21</f>
        <v/>
      </c>
      <c r="D37" s="27">
        <f>SUMIFS('Memória por Ambiente'!$M$2:$M$296,'Memória por Ambiente'!$C$2:$C$296,"Térreo",'Memória por Ambiente'!$B$2:$B$296,"Base",'Memória por Ambiente'!$I$2:$I$296,$A37)*Proposta!$I$21</f>
        <v/>
      </c>
      <c r="E37" s="27">
        <f>SUMIFS('Memória por Ambiente'!$M$2:$M$296,'Memória por Ambiente'!$C$2:$C$296,"1º Pavimento",'Memória por Ambiente'!$B$2:$B$296,"Base",'Memória por Ambiente'!$I$2:$I$296,$A37)*Proposta!$I$21</f>
        <v/>
      </c>
      <c r="F37" s="27">
        <f>SUMIFS('Memória por Ambiente'!$M$2:$M$296,'Memória por Ambiente'!$C$2:$C$296,"2º Pavimento",'Memória por Ambiente'!$B$2:$B$296,"Base",'Memória por Ambiente'!$I$2:$I$296,$A37)*Proposta!$I$21</f>
        <v/>
      </c>
      <c r="G37" s="27">
        <f>SUMIFS('Memória por Ambiente'!$M$2:$M$296,'Memória por Ambiente'!$C$2:$C$296,"Cobertura",'Memória por Ambiente'!$B$2:$B$296,"Base",'Memória por Ambiente'!$I$2:$I$296,$A37)*Proposta!$I$21</f>
        <v/>
      </c>
      <c r="H37" s="19">
        <f>SUM(C37:G37)</f>
        <v/>
      </c>
    </row>
    <row r="38">
      <c r="A38" s="7" t="inlineStr">
        <is>
          <t>M44AC</t>
        </is>
      </c>
      <c r="B38" s="13" t="inlineStr">
        <is>
          <t>R$</t>
        </is>
      </c>
      <c r="C38" s="27">
        <f>SUMIFS('Memória por Ambiente'!$M$2:$M$296,'Memória por Ambiente'!$C$2:$C$296,"1º Subsolo",'Memória por Ambiente'!$B$2:$B$296,"Base",'Memória por Ambiente'!$I$2:$I$296,$A38)*Proposta!$I$22</f>
        <v/>
      </c>
      <c r="D38" s="27">
        <f>SUMIFS('Memória por Ambiente'!$M$2:$M$296,'Memória por Ambiente'!$C$2:$C$296,"Térreo",'Memória por Ambiente'!$B$2:$B$296,"Base",'Memória por Ambiente'!$I$2:$I$296,$A38)*Proposta!$I$22</f>
        <v/>
      </c>
      <c r="E38" s="27">
        <f>SUMIFS('Memória por Ambiente'!$M$2:$M$296,'Memória por Ambiente'!$C$2:$C$296,"1º Pavimento",'Memória por Ambiente'!$B$2:$B$296,"Base",'Memória por Ambiente'!$I$2:$I$296,$A38)*Proposta!$I$22</f>
        <v/>
      </c>
      <c r="F38" s="27">
        <f>SUMIFS('Memória por Ambiente'!$M$2:$M$296,'Memória por Ambiente'!$C$2:$C$296,"2º Pavimento",'Memória por Ambiente'!$B$2:$B$296,"Base",'Memória por Ambiente'!$I$2:$I$296,$A38)*Proposta!$I$22</f>
        <v/>
      </c>
      <c r="G38" s="27">
        <f>SUMIFS('Memória por Ambiente'!$M$2:$M$296,'Memória por Ambiente'!$C$2:$C$296,"Cobertura",'Memória por Ambiente'!$B$2:$B$296,"Base",'Memória por Ambiente'!$I$2:$I$296,$A38)*Proposta!$I$22</f>
        <v/>
      </c>
      <c r="H38" s="19">
        <f>SUM(C38:G38)</f>
        <v/>
      </c>
    </row>
    <row r="39">
      <c r="A39" s="7" t="inlineStr">
        <is>
          <t>M44AD2</t>
        </is>
      </c>
      <c r="B39" s="13" t="inlineStr">
        <is>
          <t>R$</t>
        </is>
      </c>
      <c r="C39" s="27">
        <f>SUMIFS('Memória por Ambiente'!$M$2:$M$296,'Memória por Ambiente'!$C$2:$C$296,"1º Subsolo",'Memória por Ambiente'!$B$2:$B$296,"Base",'Memória por Ambiente'!$I$2:$I$296,$A39)*Proposta!$I$23</f>
        <v/>
      </c>
      <c r="D39" s="27">
        <f>SUMIFS('Memória por Ambiente'!$M$2:$M$296,'Memória por Ambiente'!$C$2:$C$296,"Térreo",'Memória por Ambiente'!$B$2:$B$296,"Base",'Memória por Ambiente'!$I$2:$I$296,$A39)*Proposta!$I$23</f>
        <v/>
      </c>
      <c r="E39" s="27">
        <f>SUMIFS('Memória por Ambiente'!$M$2:$M$296,'Memória por Ambiente'!$C$2:$C$296,"1º Pavimento",'Memória por Ambiente'!$B$2:$B$296,"Base",'Memória por Ambiente'!$I$2:$I$296,$A39)*Proposta!$I$23</f>
        <v/>
      </c>
      <c r="F39" s="27">
        <f>SUMIFS('Memória por Ambiente'!$M$2:$M$296,'Memória por Ambiente'!$C$2:$C$296,"2º Pavimento",'Memória por Ambiente'!$B$2:$B$296,"Base",'Memória por Ambiente'!$I$2:$I$296,$A39)*Proposta!$I$23</f>
        <v/>
      </c>
      <c r="G39" s="27">
        <f>SUMIFS('Memória por Ambiente'!$M$2:$M$296,'Memória por Ambiente'!$C$2:$C$296,"Cobertura",'Memória por Ambiente'!$B$2:$B$296,"Base",'Memória por Ambiente'!$I$2:$I$296,$A39)*Proposta!$I$23</f>
        <v/>
      </c>
      <c r="H39" s="19">
        <f>SUM(C39:G39)</f>
        <v/>
      </c>
    </row>
    <row r="40">
      <c r="A40" s="7" t="inlineStr">
        <is>
          <t>M34AM44AD2</t>
        </is>
      </c>
      <c r="B40" s="13" t="inlineStr">
        <is>
          <t>R$</t>
        </is>
      </c>
      <c r="C40" s="27">
        <f>SUMIFS('Memória por Ambiente'!$M$2:$M$296,'Memória por Ambiente'!$C$2:$C$296,"1º Subsolo",'Memória por Ambiente'!$B$2:$B$296,"Base",'Memória por Ambiente'!$I$2:$I$296,$A40)*Proposta!$I$24</f>
        <v/>
      </c>
      <c r="D40" s="27">
        <f>SUMIFS('Memória por Ambiente'!$M$2:$M$296,'Memória por Ambiente'!$C$2:$C$296,"Térreo",'Memória por Ambiente'!$B$2:$B$296,"Base",'Memória por Ambiente'!$I$2:$I$296,$A40)*Proposta!$I$24</f>
        <v/>
      </c>
      <c r="E40" s="27">
        <f>SUMIFS('Memória por Ambiente'!$M$2:$M$296,'Memória por Ambiente'!$C$2:$C$296,"1º Pavimento",'Memória por Ambiente'!$B$2:$B$296,"Base",'Memória por Ambiente'!$I$2:$I$296,$A40)*Proposta!$I$24</f>
        <v/>
      </c>
      <c r="F40" s="27">
        <f>SUMIFS('Memória por Ambiente'!$M$2:$M$296,'Memória por Ambiente'!$C$2:$C$296,"2º Pavimento",'Memória por Ambiente'!$B$2:$B$296,"Base",'Memória por Ambiente'!$I$2:$I$296,$A40)*Proposta!$I$24</f>
        <v/>
      </c>
      <c r="G40" s="27">
        <f>SUMIFS('Memória por Ambiente'!$M$2:$M$296,'Memória por Ambiente'!$C$2:$C$296,"Cobertura",'Memória por Ambiente'!$B$2:$B$296,"Base",'Memória por Ambiente'!$I$2:$I$296,$A40)*Proposta!$I$24</f>
        <v/>
      </c>
      <c r="H40" s="19">
        <f>SUM(C40:G40)</f>
        <v/>
      </c>
    </row>
    <row r="41">
      <c r="A41" s="7" t="inlineStr">
        <is>
          <t>M44AR05</t>
        </is>
      </c>
      <c r="B41" s="13" t="inlineStr">
        <is>
          <t>R$</t>
        </is>
      </c>
      <c r="C41" s="27">
        <f>SUMIFS('Memória por Ambiente'!$M$2:$M$296,'Memória por Ambiente'!$C$2:$C$296,"1º Subsolo",'Memória por Ambiente'!$B$2:$B$296,"Base",'Memória por Ambiente'!$I$2:$I$296,$A41)*Proposta!$I$25</f>
        <v/>
      </c>
      <c r="D41" s="27">
        <f>SUMIFS('Memória por Ambiente'!$M$2:$M$296,'Memória por Ambiente'!$C$2:$C$296,"Térreo",'Memória por Ambiente'!$B$2:$B$296,"Base",'Memória por Ambiente'!$I$2:$I$296,$A41)*Proposta!$I$25</f>
        <v/>
      </c>
      <c r="E41" s="27">
        <f>SUMIFS('Memória por Ambiente'!$M$2:$M$296,'Memória por Ambiente'!$C$2:$C$296,"1º Pavimento",'Memória por Ambiente'!$B$2:$B$296,"Base",'Memória por Ambiente'!$I$2:$I$296,$A41)*Proposta!$I$25</f>
        <v/>
      </c>
      <c r="F41" s="27">
        <f>SUMIFS('Memória por Ambiente'!$M$2:$M$296,'Memória por Ambiente'!$C$2:$C$296,"2º Pavimento",'Memória por Ambiente'!$B$2:$B$296,"Base",'Memória por Ambiente'!$I$2:$I$296,$A41)*Proposta!$I$25</f>
        <v/>
      </c>
      <c r="G41" s="27">
        <f>SUMIFS('Memória por Ambiente'!$M$2:$M$296,'Memória por Ambiente'!$C$2:$C$296,"Cobertura",'Memória por Ambiente'!$B$2:$B$296,"Base",'Memória por Ambiente'!$I$2:$I$296,$A41)*Proposta!$I$25</f>
        <v/>
      </c>
      <c r="H41" s="19">
        <f>SUM(C41:G41)</f>
        <v/>
      </c>
    </row>
    <row r="42">
      <c r="A42" s="7" t="inlineStr">
        <is>
          <t>M44AXPS</t>
        </is>
      </c>
      <c r="B42" s="13" t="inlineStr">
        <is>
          <t>R$</t>
        </is>
      </c>
      <c r="C42" s="27">
        <f>SUMIFS('Memória por Ambiente'!$M$2:$M$296,'Memória por Ambiente'!$C$2:$C$296,"1º Subsolo",'Memória por Ambiente'!$B$2:$B$296,"Base",'Memória por Ambiente'!$I$2:$I$296,$A42)*Proposta!$I$26</f>
        <v/>
      </c>
      <c r="D42" s="27">
        <f>SUMIFS('Memória por Ambiente'!$M$2:$M$296,'Memória por Ambiente'!$C$2:$C$296,"Térreo",'Memória por Ambiente'!$B$2:$B$296,"Base",'Memória por Ambiente'!$I$2:$I$296,$A42)*Proposta!$I$26</f>
        <v/>
      </c>
      <c r="E42" s="27">
        <f>SUMIFS('Memória por Ambiente'!$M$2:$M$296,'Memória por Ambiente'!$C$2:$C$296,"1º Pavimento",'Memória por Ambiente'!$B$2:$B$296,"Base",'Memória por Ambiente'!$I$2:$I$296,$A42)*Proposta!$I$26</f>
        <v/>
      </c>
      <c r="F42" s="27">
        <f>SUMIFS('Memória por Ambiente'!$M$2:$M$296,'Memória por Ambiente'!$C$2:$C$296,"2º Pavimento",'Memória por Ambiente'!$B$2:$B$296,"Base",'Memória por Ambiente'!$I$2:$I$296,$A42)*Proposta!$I$26</f>
        <v/>
      </c>
      <c r="G42" s="27">
        <f>SUMIFS('Memória por Ambiente'!$M$2:$M$296,'Memória por Ambiente'!$C$2:$C$296,"Cobertura",'Memória por Ambiente'!$B$2:$B$296,"Base",'Memória por Ambiente'!$I$2:$I$296,$A42)*Proposta!$I$26</f>
        <v/>
      </c>
      <c r="H42" s="19">
        <f>SUM(C42:G42)</f>
        <v/>
      </c>
    </row>
    <row r="43">
      <c r="A43" s="7" t="inlineStr">
        <is>
          <t>JP30A</t>
        </is>
      </c>
      <c r="B43" s="13" t="inlineStr">
        <is>
          <t>R$</t>
        </is>
      </c>
      <c r="C43" s="27">
        <f>SUMIFS('Memória por Ambiente'!$M$2:$M$296,'Memória por Ambiente'!$C$2:$C$296,"1º Subsolo",'Memória por Ambiente'!$B$2:$B$296,"Base",'Memória por Ambiente'!$I$2:$I$296,$A43)*Proposta!$I$27</f>
        <v/>
      </c>
      <c r="D43" s="27">
        <f>SUMIFS('Memória por Ambiente'!$M$2:$M$296,'Memória por Ambiente'!$C$2:$C$296,"Térreo",'Memória por Ambiente'!$B$2:$B$296,"Base",'Memória por Ambiente'!$I$2:$I$296,$A43)*Proposta!$I$27</f>
        <v/>
      </c>
      <c r="E43" s="27">
        <f>SUMIFS('Memória por Ambiente'!$M$2:$M$296,'Memória por Ambiente'!$C$2:$C$296,"1º Pavimento",'Memória por Ambiente'!$B$2:$B$296,"Base",'Memória por Ambiente'!$I$2:$I$296,$A43)*Proposta!$I$27</f>
        <v/>
      </c>
      <c r="F43" s="27">
        <f>SUMIFS('Memória por Ambiente'!$M$2:$M$296,'Memória por Ambiente'!$C$2:$C$296,"2º Pavimento",'Memória por Ambiente'!$B$2:$B$296,"Base",'Memória por Ambiente'!$I$2:$I$296,$A43)*Proposta!$I$27</f>
        <v/>
      </c>
      <c r="G43" s="27">
        <f>SUMIFS('Memória por Ambiente'!$M$2:$M$296,'Memória por Ambiente'!$C$2:$C$296,"Cobertura",'Memória por Ambiente'!$B$2:$B$296,"Base",'Memória por Ambiente'!$I$2:$I$296,$A43)*Proposta!$I$27</f>
        <v/>
      </c>
      <c r="H43" s="19">
        <f>SUM(C43:G43)</f>
        <v/>
      </c>
    </row>
    <row r="44">
      <c r="A44" s="7" t="inlineStr">
        <is>
          <t>JP30AR05</t>
        </is>
      </c>
      <c r="B44" s="13" t="inlineStr">
        <is>
          <t>R$</t>
        </is>
      </c>
      <c r="C44" s="27">
        <f>SUMIFS('Memória por Ambiente'!$M$2:$M$296,'Memória por Ambiente'!$C$2:$C$296,"1º Subsolo",'Memória por Ambiente'!$B$2:$B$296,"Base",'Memória por Ambiente'!$I$2:$I$296,$A44)*Proposta!$I$28</f>
        <v/>
      </c>
      <c r="D44" s="27">
        <f>SUMIFS('Memória por Ambiente'!$M$2:$M$296,'Memória por Ambiente'!$C$2:$C$296,"Térreo",'Memória por Ambiente'!$B$2:$B$296,"Base",'Memória por Ambiente'!$I$2:$I$296,$A44)*Proposta!$I$28</f>
        <v/>
      </c>
      <c r="E44" s="27">
        <f>SUMIFS('Memória por Ambiente'!$M$2:$M$296,'Memória por Ambiente'!$C$2:$C$296,"1º Pavimento",'Memória por Ambiente'!$B$2:$B$296,"Base",'Memória por Ambiente'!$I$2:$I$296,$A44)*Proposta!$I$28</f>
        <v/>
      </c>
      <c r="F44" s="27">
        <f>SUMIFS('Memória por Ambiente'!$M$2:$M$296,'Memória por Ambiente'!$C$2:$C$296,"2º Pavimento",'Memória por Ambiente'!$B$2:$B$296,"Base",'Memória por Ambiente'!$I$2:$I$296,$A44)*Proposta!$I$28</f>
        <v/>
      </c>
      <c r="G44" s="27">
        <f>SUMIFS('Memória por Ambiente'!$M$2:$M$296,'Memória por Ambiente'!$C$2:$C$296,"Cobertura",'Memória por Ambiente'!$B$2:$B$296,"Base",'Memória por Ambiente'!$I$2:$I$296,$A44)*Proposta!$I$28</f>
        <v/>
      </c>
      <c r="H44" s="19">
        <f>SUM(C44:G44)</f>
        <v/>
      </c>
    </row>
    <row r="45">
      <c r="A45" s="7" t="inlineStr">
        <is>
          <t>CP01</t>
        </is>
      </c>
      <c r="B45" s="13" t="inlineStr">
        <is>
          <t>R$</t>
        </is>
      </c>
      <c r="C45" s="27">
        <f>SUMIFS('Memória por Ambiente'!$N$2:$N$296,'Memória por Ambiente'!$C$2:$C$296,"1º Subsolo",'Memória por Ambiente'!$B$2:$B$296,"Base")*Proposta!$I$32</f>
        <v/>
      </c>
      <c r="D45" s="27">
        <f>SUMIFS('Memória por Ambiente'!$N$2:$N$296,'Memória por Ambiente'!$C$2:$C$296,"Térreo",'Memória por Ambiente'!$B$2:$B$296,"Base")*Proposta!$I$32</f>
        <v/>
      </c>
      <c r="E45" s="27">
        <f>SUMIFS('Memória por Ambiente'!$N$2:$N$296,'Memória por Ambiente'!$C$2:$C$296,"1º Pavimento",'Memória por Ambiente'!$B$2:$B$296,"Base")*Proposta!$I$32</f>
        <v/>
      </c>
      <c r="F45" s="27">
        <f>SUMIFS('Memória por Ambiente'!$N$2:$N$296,'Memória por Ambiente'!$C$2:$C$296,"2º Pavimento",'Memória por Ambiente'!$B$2:$B$296,"Base")*Proposta!$I$32</f>
        <v/>
      </c>
      <c r="G45" s="27">
        <f>SUMIFS('Memória por Ambiente'!$N$2:$N$296,'Memória por Ambiente'!$C$2:$C$296,"Cobertura",'Memória por Ambiente'!$B$2:$B$296,"Base")*Proposta!$I$32</f>
        <v/>
      </c>
      <c r="H45" s="19">
        <f>SUM(C45:G45)</f>
        <v/>
      </c>
    </row>
    <row r="46">
      <c r="A46" s="7" t="inlineStr">
        <is>
          <t>CP02</t>
        </is>
      </c>
      <c r="B46" s="13" t="inlineStr">
        <is>
          <t>R$</t>
        </is>
      </c>
      <c r="C46" s="27">
        <f>SUMIFS('Memória por Ambiente'!$O$2:$O$296,'Memória por Ambiente'!$C$2:$C$296,"1º Subsolo",'Memória por Ambiente'!$B$2:$B$296,"Base")*Proposta!$I$33</f>
        <v/>
      </c>
      <c r="D46" s="27">
        <f>SUMIFS('Memória por Ambiente'!$O$2:$O$296,'Memória por Ambiente'!$C$2:$C$296,"Térreo",'Memória por Ambiente'!$B$2:$B$296,"Base")*Proposta!$I$33</f>
        <v/>
      </c>
      <c r="E46" s="27">
        <f>SUMIFS('Memória por Ambiente'!$O$2:$O$296,'Memória por Ambiente'!$C$2:$C$296,"1º Pavimento",'Memória por Ambiente'!$B$2:$B$296,"Base")*Proposta!$I$33</f>
        <v/>
      </c>
      <c r="F46" s="27">
        <f>SUMIFS('Memória por Ambiente'!$O$2:$O$296,'Memória por Ambiente'!$C$2:$C$296,"2º Pavimento",'Memória por Ambiente'!$B$2:$B$296,"Base")*Proposta!$I$33</f>
        <v/>
      </c>
      <c r="G46" s="27">
        <f>SUMIFS('Memória por Ambiente'!$O$2:$O$296,'Memória por Ambiente'!$C$2:$C$296,"Cobertura",'Memória por Ambiente'!$B$2:$B$296,"Base")*Proposta!$I$33</f>
        <v/>
      </c>
      <c r="H46" s="19">
        <f>SUM(C46:G46)</f>
        <v/>
      </c>
    </row>
    <row r="47">
      <c r="A47" s="7" t="inlineStr">
        <is>
          <t>CP03</t>
        </is>
      </c>
      <c r="B47" s="13" t="inlineStr">
        <is>
          <t>R$</t>
        </is>
      </c>
      <c r="C47" s="27">
        <f>SUMIFS('Memória por Ambiente'!$P$2:$P$296,'Memória por Ambiente'!$C$2:$C$296,"1º Subsolo",'Memória por Ambiente'!$B$2:$B$296,"Base")*Proposta!$I$34</f>
        <v/>
      </c>
      <c r="D47" s="27">
        <f>SUMIFS('Memória por Ambiente'!$P$2:$P$296,'Memória por Ambiente'!$C$2:$C$296,"Térreo",'Memória por Ambiente'!$B$2:$B$296,"Base")*Proposta!$I$34</f>
        <v/>
      </c>
      <c r="E47" s="27">
        <f>SUMIFS('Memória por Ambiente'!$P$2:$P$296,'Memória por Ambiente'!$C$2:$C$296,"1º Pavimento",'Memória por Ambiente'!$B$2:$B$296,"Base")*Proposta!$I$34</f>
        <v/>
      </c>
      <c r="F47" s="27">
        <f>SUMIFS('Memória por Ambiente'!$P$2:$P$296,'Memória por Ambiente'!$C$2:$C$296,"2º Pavimento",'Memória por Ambiente'!$B$2:$B$296,"Base")*Proposta!$I$34</f>
        <v/>
      </c>
      <c r="G47" s="27">
        <f>SUMIFS('Memória por Ambiente'!$P$2:$P$296,'Memória por Ambiente'!$C$2:$C$296,"Cobertura",'Memória por Ambiente'!$B$2:$B$296,"Base")*Proposta!$I$34</f>
        <v/>
      </c>
      <c r="H47" s="19">
        <f>SUM(C47:G47)</f>
        <v/>
      </c>
    </row>
    <row r="48">
      <c r="A48" s="7" t="inlineStr">
        <is>
          <t>CP04</t>
        </is>
      </c>
      <c r="B48" s="13" t="inlineStr">
        <is>
          <t>R$</t>
        </is>
      </c>
      <c r="C48" s="27">
        <f>SUMIFS('Memória por Ambiente'!$Q$2:$Q$296,'Memória por Ambiente'!$C$2:$C$296,"1º Subsolo",'Memória por Ambiente'!$B$2:$B$296,"Base")*Proposta!$I$35</f>
        <v/>
      </c>
      <c r="D48" s="27">
        <f>SUMIFS('Memória por Ambiente'!$Q$2:$Q$296,'Memória por Ambiente'!$C$2:$C$296,"Térreo",'Memória por Ambiente'!$B$2:$B$296,"Base")*Proposta!$I$35</f>
        <v/>
      </c>
      <c r="E48" s="27">
        <f>SUMIFS('Memória por Ambiente'!$Q$2:$Q$296,'Memória por Ambiente'!$C$2:$C$296,"1º Pavimento",'Memória por Ambiente'!$B$2:$B$296,"Base")*Proposta!$I$35</f>
        <v/>
      </c>
      <c r="F48" s="27">
        <f>SUMIFS('Memória por Ambiente'!$Q$2:$Q$296,'Memória por Ambiente'!$C$2:$C$296,"2º Pavimento",'Memória por Ambiente'!$B$2:$B$296,"Base")*Proposta!$I$35</f>
        <v/>
      </c>
      <c r="G48" s="27">
        <f>SUMIFS('Memória por Ambiente'!$Q$2:$Q$296,'Memória por Ambiente'!$C$2:$C$296,"Cobertura",'Memória por Ambiente'!$B$2:$B$296,"Base")*Proposta!$I$35</f>
        <v/>
      </c>
      <c r="H48" s="19">
        <f>SUM(C48:G48)</f>
        <v/>
      </c>
    </row>
    <row r="49">
      <c r="A49" s="7" t="inlineStr">
        <is>
          <t>CP05</t>
        </is>
      </c>
      <c r="B49" s="13" t="inlineStr">
        <is>
          <t>R$</t>
        </is>
      </c>
      <c r="C49" s="27">
        <f>SUMIFS('Memória por Ambiente'!$R$2:$R$296,'Memória por Ambiente'!$C$2:$C$296,"1º Subsolo",'Memória por Ambiente'!$B$2:$B$296,"Base")*Proposta!$I$36</f>
        <v/>
      </c>
      <c r="D49" s="27">
        <f>SUMIFS('Memória por Ambiente'!$R$2:$R$296,'Memória por Ambiente'!$C$2:$C$296,"Térreo",'Memória por Ambiente'!$B$2:$B$296,"Base")*Proposta!$I$36</f>
        <v/>
      </c>
      <c r="E49" s="27">
        <f>SUMIFS('Memória por Ambiente'!$R$2:$R$296,'Memória por Ambiente'!$C$2:$C$296,"1º Pavimento",'Memória por Ambiente'!$B$2:$B$296,"Base")*Proposta!$I$36</f>
        <v/>
      </c>
      <c r="F49" s="27">
        <f>SUMIFS('Memória por Ambiente'!$R$2:$R$296,'Memória por Ambiente'!$C$2:$C$296,"2º Pavimento",'Memória por Ambiente'!$B$2:$B$296,"Base")*Proposta!$I$36</f>
        <v/>
      </c>
      <c r="G49" s="27">
        <f>SUMIFS('Memória por Ambiente'!$R$2:$R$296,'Memória por Ambiente'!$C$2:$C$296,"Cobertura",'Memória por Ambiente'!$B$2:$B$296,"Base")*Proposta!$I$36</f>
        <v/>
      </c>
      <c r="H49" s="19">
        <f>SUM(C49:G49)</f>
        <v/>
      </c>
    </row>
    <row r="50">
      <c r="A50" s="18" t="inlineStr">
        <is>
          <t>TOTAL</t>
        </is>
      </c>
      <c r="B50" s="20" t="n"/>
      <c r="C50" s="19">
        <f>SUM(C29:C49)</f>
        <v/>
      </c>
      <c r="D50" s="19">
        <f>SUM(D29:D49)</f>
        <v/>
      </c>
      <c r="E50" s="19">
        <f>SUM(E29:E49)</f>
        <v/>
      </c>
      <c r="F50" s="19">
        <f>SUM(F29:F49)</f>
        <v/>
      </c>
      <c r="G50" s="19">
        <f>SUM(G29:G49)</f>
        <v/>
      </c>
      <c r="H50" s="19">
        <f>SUM(H29:H49)</f>
        <v/>
      </c>
    </row>
    <row r="52">
      <c r="A52" s="12" t="inlineStr">
        <is>
          <t>QUANTIDADES (m²) POR BLOCO</t>
        </is>
      </c>
    </row>
    <row r="53">
      <c r="A53" s="11" t="inlineStr">
        <is>
          <t>Código</t>
        </is>
      </c>
      <c r="B53" s="11" t="inlineStr">
        <is>
          <t>Un.</t>
        </is>
      </c>
      <c r="C53" s="11" t="inlineStr">
        <is>
          <t>A</t>
        </is>
      </c>
      <c r="D53" s="11" t="inlineStr">
        <is>
          <t>B</t>
        </is>
      </c>
      <c r="E53" s="11" t="inlineStr">
        <is>
          <t>C</t>
        </is>
      </c>
      <c r="F53" s="11" t="inlineStr">
        <is>
          <t>Total</t>
        </is>
      </c>
    </row>
    <row r="54">
      <c r="A54" s="7" t="inlineStr">
        <is>
          <t>I20EL</t>
        </is>
      </c>
      <c r="B54" s="13" t="inlineStr">
        <is>
          <t>m²</t>
        </is>
      </c>
      <c r="C54" s="25">
        <f>SUMIFS('Memória por Ambiente'!$M$2:$M$296,'Memória por Ambiente'!$D$2:$D$296,"A",'Memória por Ambiente'!$B$2:$B$296,"Base",'Memória por Ambiente'!$I$2:$I$296,$A54)</f>
        <v/>
      </c>
      <c r="D54" s="25">
        <f>SUMIFS('Memória por Ambiente'!$M$2:$M$296,'Memória por Ambiente'!$D$2:$D$296,"B",'Memória por Ambiente'!$B$2:$B$296,"Base",'Memória por Ambiente'!$I$2:$I$296,$A54)</f>
        <v/>
      </c>
      <c r="E54" s="25">
        <f>SUMIFS('Memória por Ambiente'!$M$2:$M$296,'Memória por Ambiente'!$D$2:$D$296,"C",'Memória por Ambiente'!$B$2:$B$296,"Base",'Memória por Ambiente'!$I$2:$I$296,$A54)</f>
        <v/>
      </c>
      <c r="F54" s="26">
        <f>SUM(C54:E54)</f>
        <v/>
      </c>
    </row>
    <row r="55">
      <c r="A55" s="7" t="inlineStr">
        <is>
          <t>I30EL</t>
        </is>
      </c>
      <c r="B55" s="13" t="inlineStr">
        <is>
          <t>m²</t>
        </is>
      </c>
      <c r="C55" s="25">
        <f>SUMIFS('Memória por Ambiente'!$M$2:$M$296,'Memória por Ambiente'!$D$2:$D$296,"A",'Memória por Ambiente'!$B$2:$B$296,"Base",'Memória por Ambiente'!$I$2:$I$296,$A55)</f>
        <v/>
      </c>
      <c r="D55" s="25">
        <f>SUMIFS('Memória por Ambiente'!$M$2:$M$296,'Memória por Ambiente'!$D$2:$D$296,"B",'Memória por Ambiente'!$B$2:$B$296,"Base",'Memória por Ambiente'!$I$2:$I$296,$A55)</f>
        <v/>
      </c>
      <c r="E55" s="25">
        <f>SUMIFS('Memória por Ambiente'!$M$2:$M$296,'Memória por Ambiente'!$D$2:$D$296,"C",'Memória por Ambiente'!$B$2:$B$296,"Base",'Memória por Ambiente'!$I$2:$I$296,$A55)</f>
        <v/>
      </c>
      <c r="F55" s="26">
        <f>SUM(C55:E55)</f>
        <v/>
      </c>
    </row>
    <row r="56">
      <c r="A56" s="7" t="inlineStr">
        <is>
          <t>I30</t>
        </is>
      </c>
      <c r="B56" s="13" t="inlineStr">
        <is>
          <t>m²</t>
        </is>
      </c>
      <c r="C56" s="25">
        <f>SUMIFS('Memória por Ambiente'!$M$2:$M$296,'Memória por Ambiente'!$D$2:$D$296,"A",'Memória por Ambiente'!$B$2:$B$296,"Base",'Memória por Ambiente'!$I$2:$I$296,$A56)</f>
        <v/>
      </c>
      <c r="D56" s="25">
        <f>SUMIFS('Memória por Ambiente'!$M$2:$M$296,'Memória por Ambiente'!$D$2:$D$296,"B",'Memória por Ambiente'!$B$2:$B$296,"Base",'Memória por Ambiente'!$I$2:$I$296,$A56)</f>
        <v/>
      </c>
      <c r="E56" s="25">
        <f>SUMIFS('Memória por Ambiente'!$M$2:$M$296,'Memória por Ambiente'!$D$2:$D$296,"C",'Memória por Ambiente'!$B$2:$B$296,"Base",'Memória por Ambiente'!$I$2:$I$296,$A56)</f>
        <v/>
      </c>
      <c r="F56" s="26">
        <f>SUM(C56:E56)</f>
        <v/>
      </c>
    </row>
    <row r="57">
      <c r="A57" s="7" t="inlineStr">
        <is>
          <t>D2</t>
        </is>
      </c>
      <c r="B57" s="13" t="inlineStr">
        <is>
          <t>m²</t>
        </is>
      </c>
      <c r="C57" s="25">
        <f>SUMIFS('Memória por Ambiente'!$M$2:$M$296,'Memória por Ambiente'!$D$2:$D$296,"A",'Memória por Ambiente'!$B$2:$B$296,"Base",'Memória por Ambiente'!$I$2:$I$296,$A57)</f>
        <v/>
      </c>
      <c r="D57" s="25">
        <f>SUMIFS('Memória por Ambiente'!$M$2:$M$296,'Memória por Ambiente'!$D$2:$D$296,"B",'Memória por Ambiente'!$B$2:$B$296,"Base",'Memória por Ambiente'!$I$2:$I$296,$A57)</f>
        <v/>
      </c>
      <c r="E57" s="25">
        <f>SUMIFS('Memória por Ambiente'!$M$2:$M$296,'Memória por Ambiente'!$D$2:$D$296,"C",'Memória por Ambiente'!$B$2:$B$296,"Base",'Memória por Ambiente'!$I$2:$I$296,$A57)</f>
        <v/>
      </c>
      <c r="F57" s="26">
        <f>SUM(C57:E57)</f>
        <v/>
      </c>
    </row>
    <row r="58">
      <c r="A58" s="7" t="inlineStr">
        <is>
          <t>C3</t>
        </is>
      </c>
      <c r="B58" s="13" t="inlineStr">
        <is>
          <t>m²</t>
        </is>
      </c>
      <c r="C58" s="25">
        <f>SUMIFS('Memória por Ambiente'!$M$2:$M$296,'Memória por Ambiente'!$D$2:$D$296,"A",'Memória por Ambiente'!$B$2:$B$296,"Base",'Memória por Ambiente'!$I$2:$I$296,$A58)</f>
        <v/>
      </c>
      <c r="D58" s="25">
        <f>SUMIFS('Memória por Ambiente'!$M$2:$M$296,'Memória por Ambiente'!$D$2:$D$296,"B",'Memória por Ambiente'!$B$2:$B$296,"Base",'Memória por Ambiente'!$I$2:$I$296,$A58)</f>
        <v/>
      </c>
      <c r="E58" s="25">
        <f>SUMIFS('Memória por Ambiente'!$M$2:$M$296,'Memória por Ambiente'!$D$2:$D$296,"C",'Memória por Ambiente'!$B$2:$B$296,"Base",'Memória por Ambiente'!$I$2:$I$296,$A58)</f>
        <v/>
      </c>
      <c r="F58" s="26">
        <f>SUM(C58:E58)</f>
        <v/>
      </c>
    </row>
    <row r="59">
      <c r="A59" s="7" t="inlineStr">
        <is>
          <t>C4</t>
        </is>
      </c>
      <c r="B59" s="13" t="inlineStr">
        <is>
          <t>m²</t>
        </is>
      </c>
      <c r="C59" s="25">
        <f>SUMIFS('Memória por Ambiente'!$M$2:$M$296,'Memória por Ambiente'!$D$2:$D$296,"A",'Memória por Ambiente'!$B$2:$B$296,"Base",'Memória por Ambiente'!$I$2:$I$296,$A59)</f>
        <v/>
      </c>
      <c r="D59" s="25">
        <f>SUMIFS('Memória por Ambiente'!$M$2:$M$296,'Memória por Ambiente'!$D$2:$D$296,"B",'Memória por Ambiente'!$B$2:$B$296,"Base",'Memória por Ambiente'!$I$2:$I$296,$A59)</f>
        <v/>
      </c>
      <c r="E59" s="25">
        <f>SUMIFS('Memória por Ambiente'!$M$2:$M$296,'Memória por Ambiente'!$D$2:$D$296,"C",'Memória por Ambiente'!$B$2:$B$296,"Base",'Memória por Ambiente'!$I$2:$I$296,$A59)</f>
        <v/>
      </c>
      <c r="F59" s="26">
        <f>SUM(C59:E59)</f>
        <v/>
      </c>
    </row>
    <row r="60">
      <c r="A60" s="7" t="inlineStr">
        <is>
          <t>C3I20EL</t>
        </is>
      </c>
      <c r="B60" s="13" t="inlineStr">
        <is>
          <t>m²</t>
        </is>
      </c>
      <c r="C60" s="25">
        <f>SUMIFS('Memória por Ambiente'!$M$2:$M$296,'Memória por Ambiente'!$D$2:$D$296,"A",'Memória por Ambiente'!$B$2:$B$296,"Base",'Memória por Ambiente'!$I$2:$I$296,$A60)</f>
        <v/>
      </c>
      <c r="D60" s="25">
        <f>SUMIFS('Memória por Ambiente'!$M$2:$M$296,'Memória por Ambiente'!$D$2:$D$296,"B",'Memória por Ambiente'!$B$2:$B$296,"Base",'Memória por Ambiente'!$I$2:$I$296,$A60)</f>
        <v/>
      </c>
      <c r="E60" s="25">
        <f>SUMIFS('Memória por Ambiente'!$M$2:$M$296,'Memória por Ambiente'!$D$2:$D$296,"C",'Memória por Ambiente'!$B$2:$B$296,"Base",'Memória por Ambiente'!$I$2:$I$296,$A60)</f>
        <v/>
      </c>
      <c r="F60" s="26">
        <f>SUM(C60:E60)</f>
        <v/>
      </c>
    </row>
    <row r="61">
      <c r="A61" s="7" t="inlineStr">
        <is>
          <t>C4RQD3T</t>
        </is>
      </c>
      <c r="B61" s="13" t="inlineStr">
        <is>
          <t>m²</t>
        </is>
      </c>
      <c r="C61" s="25">
        <f>SUMIFS('Memória por Ambiente'!$M$2:$M$296,'Memória por Ambiente'!$D$2:$D$296,"A",'Memória por Ambiente'!$B$2:$B$296,"Base",'Memória por Ambiente'!$I$2:$I$296,$A61)</f>
        <v/>
      </c>
      <c r="D61" s="25">
        <f>SUMIFS('Memória por Ambiente'!$M$2:$M$296,'Memória por Ambiente'!$D$2:$D$296,"B",'Memória por Ambiente'!$B$2:$B$296,"Base",'Memória por Ambiente'!$I$2:$I$296,$A61)</f>
        <v/>
      </c>
      <c r="E61" s="25">
        <f>SUMIFS('Memória por Ambiente'!$M$2:$M$296,'Memória por Ambiente'!$D$2:$D$296,"C",'Memória por Ambiente'!$B$2:$B$296,"Base",'Memória por Ambiente'!$I$2:$I$296,$A61)</f>
        <v/>
      </c>
      <c r="F61" s="26">
        <f>SUM(C61:E61)</f>
        <v/>
      </c>
    </row>
    <row r="62">
      <c r="A62" s="7" t="inlineStr">
        <is>
          <t>M44A</t>
        </is>
      </c>
      <c r="B62" s="13" t="inlineStr">
        <is>
          <t>m²</t>
        </is>
      </c>
      <c r="C62" s="25">
        <f>SUMIFS('Memória por Ambiente'!$M$2:$M$296,'Memória por Ambiente'!$D$2:$D$296,"A",'Memória por Ambiente'!$B$2:$B$296,"Base",'Memória por Ambiente'!$I$2:$I$296,$A62)</f>
        <v/>
      </c>
      <c r="D62" s="25">
        <f>SUMIFS('Memória por Ambiente'!$M$2:$M$296,'Memória por Ambiente'!$D$2:$D$296,"B",'Memória por Ambiente'!$B$2:$B$296,"Base",'Memória por Ambiente'!$I$2:$I$296,$A62)</f>
        <v/>
      </c>
      <c r="E62" s="25">
        <f>SUMIFS('Memória por Ambiente'!$M$2:$M$296,'Memória por Ambiente'!$D$2:$D$296,"C",'Memória por Ambiente'!$B$2:$B$296,"Base",'Memória por Ambiente'!$I$2:$I$296,$A62)</f>
        <v/>
      </c>
      <c r="F62" s="26">
        <f>SUM(C62:E62)</f>
        <v/>
      </c>
    </row>
    <row r="63">
      <c r="A63" s="7" t="inlineStr">
        <is>
          <t>M44AC</t>
        </is>
      </c>
      <c r="B63" s="13" t="inlineStr">
        <is>
          <t>m²</t>
        </is>
      </c>
      <c r="C63" s="25">
        <f>SUMIFS('Memória por Ambiente'!$M$2:$M$296,'Memória por Ambiente'!$D$2:$D$296,"A",'Memória por Ambiente'!$B$2:$B$296,"Base",'Memória por Ambiente'!$I$2:$I$296,$A63)</f>
        <v/>
      </c>
      <c r="D63" s="25">
        <f>SUMIFS('Memória por Ambiente'!$M$2:$M$296,'Memória por Ambiente'!$D$2:$D$296,"B",'Memória por Ambiente'!$B$2:$B$296,"Base",'Memória por Ambiente'!$I$2:$I$296,$A63)</f>
        <v/>
      </c>
      <c r="E63" s="25">
        <f>SUMIFS('Memória por Ambiente'!$M$2:$M$296,'Memória por Ambiente'!$D$2:$D$296,"C",'Memória por Ambiente'!$B$2:$B$296,"Base",'Memória por Ambiente'!$I$2:$I$296,$A63)</f>
        <v/>
      </c>
      <c r="F63" s="26">
        <f>SUM(C63:E63)</f>
        <v/>
      </c>
    </row>
    <row r="64">
      <c r="A64" s="7" t="inlineStr">
        <is>
          <t>M44AD2</t>
        </is>
      </c>
      <c r="B64" s="13" t="inlineStr">
        <is>
          <t>m²</t>
        </is>
      </c>
      <c r="C64" s="25">
        <f>SUMIFS('Memória por Ambiente'!$M$2:$M$296,'Memória por Ambiente'!$D$2:$D$296,"A",'Memória por Ambiente'!$B$2:$B$296,"Base",'Memória por Ambiente'!$I$2:$I$296,$A64)</f>
        <v/>
      </c>
      <c r="D64" s="25">
        <f>SUMIFS('Memória por Ambiente'!$M$2:$M$296,'Memória por Ambiente'!$D$2:$D$296,"B",'Memória por Ambiente'!$B$2:$B$296,"Base",'Memória por Ambiente'!$I$2:$I$296,$A64)</f>
        <v/>
      </c>
      <c r="E64" s="25">
        <f>SUMIFS('Memória por Ambiente'!$M$2:$M$296,'Memória por Ambiente'!$D$2:$D$296,"C",'Memória por Ambiente'!$B$2:$B$296,"Base",'Memória por Ambiente'!$I$2:$I$296,$A64)</f>
        <v/>
      </c>
      <c r="F64" s="26">
        <f>SUM(C64:E64)</f>
        <v/>
      </c>
    </row>
    <row r="65">
      <c r="A65" s="7" t="inlineStr">
        <is>
          <t>M34AM44AD2</t>
        </is>
      </c>
      <c r="B65" s="13" t="inlineStr">
        <is>
          <t>m²</t>
        </is>
      </c>
      <c r="C65" s="25">
        <f>SUMIFS('Memória por Ambiente'!$M$2:$M$296,'Memória por Ambiente'!$D$2:$D$296,"A",'Memória por Ambiente'!$B$2:$B$296,"Base",'Memória por Ambiente'!$I$2:$I$296,$A65)</f>
        <v/>
      </c>
      <c r="D65" s="25">
        <f>SUMIFS('Memória por Ambiente'!$M$2:$M$296,'Memória por Ambiente'!$D$2:$D$296,"B",'Memória por Ambiente'!$B$2:$B$296,"Base",'Memória por Ambiente'!$I$2:$I$296,$A65)</f>
        <v/>
      </c>
      <c r="E65" s="25">
        <f>SUMIFS('Memória por Ambiente'!$M$2:$M$296,'Memória por Ambiente'!$D$2:$D$296,"C",'Memória por Ambiente'!$B$2:$B$296,"Base",'Memória por Ambiente'!$I$2:$I$296,$A65)</f>
        <v/>
      </c>
      <c r="F65" s="26">
        <f>SUM(C65:E65)</f>
        <v/>
      </c>
    </row>
    <row r="66">
      <c r="A66" s="7" t="inlineStr">
        <is>
          <t>M44AR05</t>
        </is>
      </c>
      <c r="B66" s="13" t="inlineStr">
        <is>
          <t>m²</t>
        </is>
      </c>
      <c r="C66" s="25">
        <f>SUMIFS('Memória por Ambiente'!$M$2:$M$296,'Memória por Ambiente'!$D$2:$D$296,"A",'Memória por Ambiente'!$B$2:$B$296,"Base",'Memória por Ambiente'!$I$2:$I$296,$A66)</f>
        <v/>
      </c>
      <c r="D66" s="25">
        <f>SUMIFS('Memória por Ambiente'!$M$2:$M$296,'Memória por Ambiente'!$D$2:$D$296,"B",'Memória por Ambiente'!$B$2:$B$296,"Base",'Memória por Ambiente'!$I$2:$I$296,$A66)</f>
        <v/>
      </c>
      <c r="E66" s="25">
        <f>SUMIFS('Memória por Ambiente'!$M$2:$M$296,'Memória por Ambiente'!$D$2:$D$296,"C",'Memória por Ambiente'!$B$2:$B$296,"Base",'Memória por Ambiente'!$I$2:$I$296,$A66)</f>
        <v/>
      </c>
      <c r="F66" s="26">
        <f>SUM(C66:E66)</f>
        <v/>
      </c>
    </row>
    <row r="67">
      <c r="A67" s="7" t="inlineStr">
        <is>
          <t>M44AXPS</t>
        </is>
      </c>
      <c r="B67" s="13" t="inlineStr">
        <is>
          <t>m²</t>
        </is>
      </c>
      <c r="C67" s="25">
        <f>SUMIFS('Memória por Ambiente'!$M$2:$M$296,'Memória por Ambiente'!$D$2:$D$296,"A",'Memória por Ambiente'!$B$2:$B$296,"Base",'Memória por Ambiente'!$I$2:$I$296,$A67)</f>
        <v/>
      </c>
      <c r="D67" s="25">
        <f>SUMIFS('Memória por Ambiente'!$M$2:$M$296,'Memória por Ambiente'!$D$2:$D$296,"B",'Memória por Ambiente'!$B$2:$B$296,"Base",'Memória por Ambiente'!$I$2:$I$296,$A67)</f>
        <v/>
      </c>
      <c r="E67" s="25">
        <f>SUMIFS('Memória por Ambiente'!$M$2:$M$296,'Memória por Ambiente'!$D$2:$D$296,"C",'Memória por Ambiente'!$B$2:$B$296,"Base",'Memória por Ambiente'!$I$2:$I$296,$A67)</f>
        <v/>
      </c>
      <c r="F67" s="26">
        <f>SUM(C67:E67)</f>
        <v/>
      </c>
    </row>
    <row r="68">
      <c r="A68" s="7" t="inlineStr">
        <is>
          <t>JP30A</t>
        </is>
      </c>
      <c r="B68" s="13" t="inlineStr">
        <is>
          <t>m²</t>
        </is>
      </c>
      <c r="C68" s="25">
        <f>SUMIFS('Memória por Ambiente'!$M$2:$M$296,'Memória por Ambiente'!$D$2:$D$296,"A",'Memória por Ambiente'!$B$2:$B$296,"Base",'Memória por Ambiente'!$I$2:$I$296,$A68)</f>
        <v/>
      </c>
      <c r="D68" s="25">
        <f>SUMIFS('Memória por Ambiente'!$M$2:$M$296,'Memória por Ambiente'!$D$2:$D$296,"B",'Memória por Ambiente'!$B$2:$B$296,"Base",'Memória por Ambiente'!$I$2:$I$296,$A68)</f>
        <v/>
      </c>
      <c r="E68" s="25">
        <f>SUMIFS('Memória por Ambiente'!$M$2:$M$296,'Memória por Ambiente'!$D$2:$D$296,"C",'Memória por Ambiente'!$B$2:$B$296,"Base",'Memória por Ambiente'!$I$2:$I$296,$A68)</f>
        <v/>
      </c>
      <c r="F68" s="26">
        <f>SUM(C68:E68)</f>
        <v/>
      </c>
    </row>
    <row r="69">
      <c r="A69" s="7" t="inlineStr">
        <is>
          <t>JP30AR05</t>
        </is>
      </c>
      <c r="B69" s="13" t="inlineStr">
        <is>
          <t>m²</t>
        </is>
      </c>
      <c r="C69" s="25">
        <f>SUMIFS('Memória por Ambiente'!$M$2:$M$296,'Memória por Ambiente'!$D$2:$D$296,"A",'Memória por Ambiente'!$B$2:$B$296,"Base",'Memória por Ambiente'!$I$2:$I$296,$A69)</f>
        <v/>
      </c>
      <c r="D69" s="25">
        <f>SUMIFS('Memória por Ambiente'!$M$2:$M$296,'Memória por Ambiente'!$D$2:$D$296,"B",'Memória por Ambiente'!$B$2:$B$296,"Base",'Memória por Ambiente'!$I$2:$I$296,$A69)</f>
        <v/>
      </c>
      <c r="E69" s="25">
        <f>SUMIFS('Memória por Ambiente'!$M$2:$M$296,'Memória por Ambiente'!$D$2:$D$296,"C",'Memória por Ambiente'!$B$2:$B$296,"Base",'Memória por Ambiente'!$I$2:$I$296,$A69)</f>
        <v/>
      </c>
      <c r="F69" s="26">
        <f>SUM(C69:E69)</f>
        <v/>
      </c>
    </row>
    <row r="70">
      <c r="A70" s="7" t="inlineStr">
        <is>
          <t>CP01</t>
        </is>
      </c>
      <c r="B70" s="13" t="inlineStr">
        <is>
          <t>m²</t>
        </is>
      </c>
      <c r="C70" s="25">
        <f>SUMIFS('Memória por Ambiente'!$N$2:$N$296,'Memória por Ambiente'!$D$2:$D$296,"A",'Memória por Ambiente'!$B$2:$B$296,"Base")</f>
        <v/>
      </c>
      <c r="D70" s="25">
        <f>SUMIFS('Memória por Ambiente'!$N$2:$N$296,'Memória por Ambiente'!$D$2:$D$296,"B",'Memória por Ambiente'!$B$2:$B$296,"Base")</f>
        <v/>
      </c>
      <c r="E70" s="25">
        <f>SUMIFS('Memória por Ambiente'!$N$2:$N$296,'Memória por Ambiente'!$D$2:$D$296,"C",'Memória por Ambiente'!$B$2:$B$296,"Base")</f>
        <v/>
      </c>
      <c r="F70" s="26">
        <f>SUM(C70:E70)</f>
        <v/>
      </c>
    </row>
    <row r="71">
      <c r="A71" s="7" t="inlineStr">
        <is>
          <t>CP02</t>
        </is>
      </c>
      <c r="B71" s="13" t="inlineStr">
        <is>
          <t>m²</t>
        </is>
      </c>
      <c r="C71" s="25">
        <f>SUMIFS('Memória por Ambiente'!$O$2:$O$296,'Memória por Ambiente'!$D$2:$D$296,"A",'Memória por Ambiente'!$B$2:$B$296,"Base")</f>
        <v/>
      </c>
      <c r="D71" s="25">
        <f>SUMIFS('Memória por Ambiente'!$O$2:$O$296,'Memória por Ambiente'!$D$2:$D$296,"B",'Memória por Ambiente'!$B$2:$B$296,"Base")</f>
        <v/>
      </c>
      <c r="E71" s="25">
        <f>SUMIFS('Memória por Ambiente'!$O$2:$O$296,'Memória por Ambiente'!$D$2:$D$296,"C",'Memória por Ambiente'!$B$2:$B$296,"Base")</f>
        <v/>
      </c>
      <c r="F71" s="26">
        <f>SUM(C71:E71)</f>
        <v/>
      </c>
    </row>
    <row r="72">
      <c r="A72" s="7" t="inlineStr">
        <is>
          <t>CP03</t>
        </is>
      </c>
      <c r="B72" s="13" t="inlineStr">
        <is>
          <t>m²</t>
        </is>
      </c>
      <c r="C72" s="25">
        <f>SUMIFS('Memória por Ambiente'!$P$2:$P$296,'Memória por Ambiente'!$D$2:$D$296,"A",'Memória por Ambiente'!$B$2:$B$296,"Base")</f>
        <v/>
      </c>
      <c r="D72" s="25">
        <f>SUMIFS('Memória por Ambiente'!$P$2:$P$296,'Memória por Ambiente'!$D$2:$D$296,"B",'Memória por Ambiente'!$B$2:$B$296,"Base")</f>
        <v/>
      </c>
      <c r="E72" s="25">
        <f>SUMIFS('Memória por Ambiente'!$P$2:$P$296,'Memória por Ambiente'!$D$2:$D$296,"C",'Memória por Ambiente'!$B$2:$B$296,"Base")</f>
        <v/>
      </c>
      <c r="F72" s="26">
        <f>SUM(C72:E72)</f>
        <v/>
      </c>
    </row>
    <row r="73">
      <c r="A73" s="7" t="inlineStr">
        <is>
          <t>CP04</t>
        </is>
      </c>
      <c r="B73" s="13" t="inlineStr">
        <is>
          <t>m²</t>
        </is>
      </c>
      <c r="C73" s="25">
        <f>SUMIFS('Memória por Ambiente'!$Q$2:$Q$296,'Memória por Ambiente'!$D$2:$D$296,"A",'Memória por Ambiente'!$B$2:$B$296,"Base")</f>
        <v/>
      </c>
      <c r="D73" s="25">
        <f>SUMIFS('Memória por Ambiente'!$Q$2:$Q$296,'Memória por Ambiente'!$D$2:$D$296,"B",'Memória por Ambiente'!$B$2:$B$296,"Base")</f>
        <v/>
      </c>
      <c r="E73" s="25">
        <f>SUMIFS('Memória por Ambiente'!$Q$2:$Q$296,'Memória por Ambiente'!$D$2:$D$296,"C",'Memória por Ambiente'!$B$2:$B$296,"Base")</f>
        <v/>
      </c>
      <c r="F73" s="26">
        <f>SUM(C73:E73)</f>
        <v/>
      </c>
    </row>
    <row r="74">
      <c r="A74" s="7" t="inlineStr">
        <is>
          <t>CP05</t>
        </is>
      </c>
      <c r="B74" s="13" t="inlineStr">
        <is>
          <t>m²</t>
        </is>
      </c>
      <c r="C74" s="25">
        <f>SUMIFS('Memória por Ambiente'!$R$2:$R$296,'Memória por Ambiente'!$D$2:$D$296,"A",'Memória por Ambiente'!$B$2:$B$296,"Base")</f>
        <v/>
      </c>
      <c r="D74" s="25">
        <f>SUMIFS('Memória por Ambiente'!$R$2:$R$296,'Memória por Ambiente'!$D$2:$D$296,"B",'Memória por Ambiente'!$B$2:$B$296,"Base")</f>
        <v/>
      </c>
      <c r="E74" s="25">
        <f>SUMIFS('Memória por Ambiente'!$R$2:$R$296,'Memória por Ambiente'!$D$2:$D$296,"C",'Memória por Ambiente'!$B$2:$B$296,"Base")</f>
        <v/>
      </c>
      <c r="F74" s="26">
        <f>SUM(C74:E74)</f>
        <v/>
      </c>
    </row>
    <row r="76">
      <c r="A76" s="12" t="inlineStr">
        <is>
          <t>VALORES (R$) POR BLOCO</t>
        </is>
      </c>
    </row>
    <row r="77">
      <c r="A77" s="11" t="inlineStr">
        <is>
          <t>Código</t>
        </is>
      </c>
      <c r="B77" s="11" t="inlineStr">
        <is>
          <t>Un.</t>
        </is>
      </c>
      <c r="C77" s="11" t="inlineStr">
        <is>
          <t>A</t>
        </is>
      </c>
      <c r="D77" s="11" t="inlineStr">
        <is>
          <t>B</t>
        </is>
      </c>
      <c r="E77" s="11" t="inlineStr">
        <is>
          <t>C</t>
        </is>
      </c>
      <c r="F77" s="11" t="inlineStr">
        <is>
          <t>Total</t>
        </is>
      </c>
    </row>
    <row r="78">
      <c r="A78" s="7" t="inlineStr">
        <is>
          <t>I20EL</t>
        </is>
      </c>
      <c r="B78" s="13" t="inlineStr">
        <is>
          <t>R$</t>
        </is>
      </c>
      <c r="C78" s="27">
        <f>SUMIFS('Memória por Ambiente'!$M$2:$M$296,'Memória por Ambiente'!$D$2:$D$296,"A",'Memória por Ambiente'!$B$2:$B$296,"Base",'Memória por Ambiente'!$I$2:$I$296,$A78)*Proposta!$I$13</f>
        <v/>
      </c>
      <c r="D78" s="27">
        <f>SUMIFS('Memória por Ambiente'!$M$2:$M$296,'Memória por Ambiente'!$D$2:$D$296,"B",'Memória por Ambiente'!$B$2:$B$296,"Base",'Memória por Ambiente'!$I$2:$I$296,$A78)*Proposta!$I$13</f>
        <v/>
      </c>
      <c r="E78" s="27">
        <f>SUMIFS('Memória por Ambiente'!$M$2:$M$296,'Memória por Ambiente'!$D$2:$D$296,"C",'Memória por Ambiente'!$B$2:$B$296,"Base",'Memória por Ambiente'!$I$2:$I$296,$A78)*Proposta!$I$13</f>
        <v/>
      </c>
      <c r="F78" s="19">
        <f>SUM(C78:E78)</f>
        <v/>
      </c>
    </row>
    <row r="79">
      <c r="A79" s="7" t="inlineStr">
        <is>
          <t>I30EL</t>
        </is>
      </c>
      <c r="B79" s="13" t="inlineStr">
        <is>
          <t>R$</t>
        </is>
      </c>
      <c r="C79" s="27">
        <f>SUMIFS('Memória por Ambiente'!$M$2:$M$296,'Memória por Ambiente'!$D$2:$D$296,"A",'Memória por Ambiente'!$B$2:$B$296,"Base",'Memória por Ambiente'!$I$2:$I$296,$A79)*Proposta!$I$14</f>
        <v/>
      </c>
      <c r="D79" s="27">
        <f>SUMIFS('Memória por Ambiente'!$M$2:$M$296,'Memória por Ambiente'!$D$2:$D$296,"B",'Memória por Ambiente'!$B$2:$B$296,"Base",'Memória por Ambiente'!$I$2:$I$296,$A79)*Proposta!$I$14</f>
        <v/>
      </c>
      <c r="E79" s="27">
        <f>SUMIFS('Memória por Ambiente'!$M$2:$M$296,'Memória por Ambiente'!$D$2:$D$296,"C",'Memória por Ambiente'!$B$2:$B$296,"Base",'Memória por Ambiente'!$I$2:$I$296,$A79)*Proposta!$I$14</f>
        <v/>
      </c>
      <c r="F79" s="19">
        <f>SUM(C79:E79)</f>
        <v/>
      </c>
    </row>
    <row r="80">
      <c r="A80" s="7" t="inlineStr">
        <is>
          <t>I30</t>
        </is>
      </c>
      <c r="B80" s="13" t="inlineStr">
        <is>
          <t>R$</t>
        </is>
      </c>
      <c r="C80" s="27">
        <f>SUMIFS('Memória por Ambiente'!$M$2:$M$296,'Memória por Ambiente'!$D$2:$D$296,"A",'Memória por Ambiente'!$B$2:$B$296,"Base",'Memória por Ambiente'!$I$2:$I$296,$A80)*Proposta!$I$15</f>
        <v/>
      </c>
      <c r="D80" s="27">
        <f>SUMIFS('Memória por Ambiente'!$M$2:$M$296,'Memória por Ambiente'!$D$2:$D$296,"B",'Memória por Ambiente'!$B$2:$B$296,"Base",'Memória por Ambiente'!$I$2:$I$296,$A80)*Proposta!$I$15</f>
        <v/>
      </c>
      <c r="E80" s="27">
        <f>SUMIFS('Memória por Ambiente'!$M$2:$M$296,'Memória por Ambiente'!$D$2:$D$296,"C",'Memória por Ambiente'!$B$2:$B$296,"Base",'Memória por Ambiente'!$I$2:$I$296,$A80)*Proposta!$I$15</f>
        <v/>
      </c>
      <c r="F80" s="19">
        <f>SUM(C80:E80)</f>
        <v/>
      </c>
    </row>
    <row r="81">
      <c r="A81" s="7" t="inlineStr">
        <is>
          <t>D2</t>
        </is>
      </c>
      <c r="B81" s="13" t="inlineStr">
        <is>
          <t>R$</t>
        </is>
      </c>
      <c r="C81" s="27">
        <f>SUMIFS('Memória por Ambiente'!$M$2:$M$296,'Memória por Ambiente'!$D$2:$D$296,"A",'Memória por Ambiente'!$B$2:$B$296,"Base",'Memória por Ambiente'!$I$2:$I$296,$A81)*Proposta!$I$16</f>
        <v/>
      </c>
      <c r="D81" s="27">
        <f>SUMIFS('Memória por Ambiente'!$M$2:$M$296,'Memória por Ambiente'!$D$2:$D$296,"B",'Memória por Ambiente'!$B$2:$B$296,"Base",'Memória por Ambiente'!$I$2:$I$296,$A81)*Proposta!$I$16</f>
        <v/>
      </c>
      <c r="E81" s="27">
        <f>SUMIFS('Memória por Ambiente'!$M$2:$M$296,'Memória por Ambiente'!$D$2:$D$296,"C",'Memória por Ambiente'!$B$2:$B$296,"Base",'Memória por Ambiente'!$I$2:$I$296,$A81)*Proposta!$I$16</f>
        <v/>
      </c>
      <c r="F81" s="19">
        <f>SUM(C81:E81)</f>
        <v/>
      </c>
    </row>
    <row r="82">
      <c r="A82" s="7" t="inlineStr">
        <is>
          <t>C3</t>
        </is>
      </c>
      <c r="B82" s="13" t="inlineStr">
        <is>
          <t>R$</t>
        </is>
      </c>
      <c r="C82" s="27">
        <f>SUMIFS('Memória por Ambiente'!$M$2:$M$296,'Memória por Ambiente'!$D$2:$D$296,"A",'Memória por Ambiente'!$B$2:$B$296,"Base",'Memória por Ambiente'!$I$2:$I$296,$A82)*Proposta!$I$17</f>
        <v/>
      </c>
      <c r="D82" s="27">
        <f>SUMIFS('Memória por Ambiente'!$M$2:$M$296,'Memória por Ambiente'!$D$2:$D$296,"B",'Memória por Ambiente'!$B$2:$B$296,"Base",'Memória por Ambiente'!$I$2:$I$296,$A82)*Proposta!$I$17</f>
        <v/>
      </c>
      <c r="E82" s="27">
        <f>SUMIFS('Memória por Ambiente'!$M$2:$M$296,'Memória por Ambiente'!$D$2:$D$296,"C",'Memória por Ambiente'!$B$2:$B$296,"Base",'Memória por Ambiente'!$I$2:$I$296,$A82)*Proposta!$I$17</f>
        <v/>
      </c>
      <c r="F82" s="19">
        <f>SUM(C82:E82)</f>
        <v/>
      </c>
    </row>
    <row r="83">
      <c r="A83" s="7" t="inlineStr">
        <is>
          <t>C4</t>
        </is>
      </c>
      <c r="B83" s="13" t="inlineStr">
        <is>
          <t>R$</t>
        </is>
      </c>
      <c r="C83" s="27">
        <f>SUMIFS('Memória por Ambiente'!$M$2:$M$296,'Memória por Ambiente'!$D$2:$D$296,"A",'Memória por Ambiente'!$B$2:$B$296,"Base",'Memória por Ambiente'!$I$2:$I$296,$A83)*Proposta!$I$18</f>
        <v/>
      </c>
      <c r="D83" s="27">
        <f>SUMIFS('Memória por Ambiente'!$M$2:$M$296,'Memória por Ambiente'!$D$2:$D$296,"B",'Memória por Ambiente'!$B$2:$B$296,"Base",'Memória por Ambiente'!$I$2:$I$296,$A83)*Proposta!$I$18</f>
        <v/>
      </c>
      <c r="E83" s="27">
        <f>SUMIFS('Memória por Ambiente'!$M$2:$M$296,'Memória por Ambiente'!$D$2:$D$296,"C",'Memória por Ambiente'!$B$2:$B$296,"Base",'Memória por Ambiente'!$I$2:$I$296,$A83)*Proposta!$I$18</f>
        <v/>
      </c>
      <c r="F83" s="19">
        <f>SUM(C83:E83)</f>
        <v/>
      </c>
    </row>
    <row r="84">
      <c r="A84" s="7" t="inlineStr">
        <is>
          <t>C3I20EL</t>
        </is>
      </c>
      <c r="B84" s="13" t="inlineStr">
        <is>
          <t>R$</t>
        </is>
      </c>
      <c r="C84" s="27">
        <f>SUMIFS('Memória por Ambiente'!$M$2:$M$296,'Memória por Ambiente'!$D$2:$D$296,"A",'Memória por Ambiente'!$B$2:$B$296,"Base",'Memória por Ambiente'!$I$2:$I$296,$A84)*Proposta!$I$19</f>
        <v/>
      </c>
      <c r="D84" s="27">
        <f>SUMIFS('Memória por Ambiente'!$M$2:$M$296,'Memória por Ambiente'!$D$2:$D$296,"B",'Memória por Ambiente'!$B$2:$B$296,"Base",'Memória por Ambiente'!$I$2:$I$296,$A84)*Proposta!$I$19</f>
        <v/>
      </c>
      <c r="E84" s="27">
        <f>SUMIFS('Memória por Ambiente'!$M$2:$M$296,'Memória por Ambiente'!$D$2:$D$296,"C",'Memória por Ambiente'!$B$2:$B$296,"Base",'Memória por Ambiente'!$I$2:$I$296,$A84)*Proposta!$I$19</f>
        <v/>
      </c>
      <c r="F84" s="19">
        <f>SUM(C84:E84)</f>
        <v/>
      </c>
    </row>
    <row r="85">
      <c r="A85" s="7" t="inlineStr">
        <is>
          <t>C4RQD3T</t>
        </is>
      </c>
      <c r="B85" s="13" t="inlineStr">
        <is>
          <t>R$</t>
        </is>
      </c>
      <c r="C85" s="27">
        <f>SUMIFS('Memória por Ambiente'!$M$2:$M$296,'Memória por Ambiente'!$D$2:$D$296,"A",'Memória por Ambiente'!$B$2:$B$296,"Base",'Memória por Ambiente'!$I$2:$I$296,$A85)*Proposta!$I$20</f>
        <v/>
      </c>
      <c r="D85" s="27">
        <f>SUMIFS('Memória por Ambiente'!$M$2:$M$296,'Memória por Ambiente'!$D$2:$D$296,"B",'Memória por Ambiente'!$B$2:$B$296,"Base",'Memória por Ambiente'!$I$2:$I$296,$A85)*Proposta!$I$20</f>
        <v/>
      </c>
      <c r="E85" s="27">
        <f>SUMIFS('Memória por Ambiente'!$M$2:$M$296,'Memória por Ambiente'!$D$2:$D$296,"C",'Memória por Ambiente'!$B$2:$B$296,"Base",'Memória por Ambiente'!$I$2:$I$296,$A85)*Proposta!$I$20</f>
        <v/>
      </c>
      <c r="F85" s="19">
        <f>SUM(C85:E85)</f>
        <v/>
      </c>
    </row>
    <row r="86">
      <c r="A86" s="7" t="inlineStr">
        <is>
          <t>M44A</t>
        </is>
      </c>
      <c r="B86" s="13" t="inlineStr">
        <is>
          <t>R$</t>
        </is>
      </c>
      <c r="C86" s="27">
        <f>SUMIFS('Memória por Ambiente'!$M$2:$M$296,'Memória por Ambiente'!$D$2:$D$296,"A",'Memória por Ambiente'!$B$2:$B$296,"Base",'Memória por Ambiente'!$I$2:$I$296,$A86)*Proposta!$I$21</f>
        <v/>
      </c>
      <c r="D86" s="27">
        <f>SUMIFS('Memória por Ambiente'!$M$2:$M$296,'Memória por Ambiente'!$D$2:$D$296,"B",'Memória por Ambiente'!$B$2:$B$296,"Base",'Memória por Ambiente'!$I$2:$I$296,$A86)*Proposta!$I$21</f>
        <v/>
      </c>
      <c r="E86" s="27">
        <f>SUMIFS('Memória por Ambiente'!$M$2:$M$296,'Memória por Ambiente'!$D$2:$D$296,"C",'Memória por Ambiente'!$B$2:$B$296,"Base",'Memória por Ambiente'!$I$2:$I$296,$A86)*Proposta!$I$21</f>
        <v/>
      </c>
      <c r="F86" s="19">
        <f>SUM(C86:E86)</f>
        <v/>
      </c>
    </row>
    <row r="87">
      <c r="A87" s="7" t="inlineStr">
        <is>
          <t>M44AC</t>
        </is>
      </c>
      <c r="B87" s="13" t="inlineStr">
        <is>
          <t>R$</t>
        </is>
      </c>
      <c r="C87" s="27">
        <f>SUMIFS('Memória por Ambiente'!$M$2:$M$296,'Memória por Ambiente'!$D$2:$D$296,"A",'Memória por Ambiente'!$B$2:$B$296,"Base",'Memória por Ambiente'!$I$2:$I$296,$A87)*Proposta!$I$22</f>
        <v/>
      </c>
      <c r="D87" s="27">
        <f>SUMIFS('Memória por Ambiente'!$M$2:$M$296,'Memória por Ambiente'!$D$2:$D$296,"B",'Memória por Ambiente'!$B$2:$B$296,"Base",'Memória por Ambiente'!$I$2:$I$296,$A87)*Proposta!$I$22</f>
        <v/>
      </c>
      <c r="E87" s="27">
        <f>SUMIFS('Memória por Ambiente'!$M$2:$M$296,'Memória por Ambiente'!$D$2:$D$296,"C",'Memória por Ambiente'!$B$2:$B$296,"Base",'Memória por Ambiente'!$I$2:$I$296,$A87)*Proposta!$I$22</f>
        <v/>
      </c>
      <c r="F87" s="19">
        <f>SUM(C87:E87)</f>
        <v/>
      </c>
    </row>
    <row r="88">
      <c r="A88" s="7" t="inlineStr">
        <is>
          <t>M44AD2</t>
        </is>
      </c>
      <c r="B88" s="13" t="inlineStr">
        <is>
          <t>R$</t>
        </is>
      </c>
      <c r="C88" s="27">
        <f>SUMIFS('Memória por Ambiente'!$M$2:$M$296,'Memória por Ambiente'!$D$2:$D$296,"A",'Memória por Ambiente'!$B$2:$B$296,"Base",'Memória por Ambiente'!$I$2:$I$296,$A88)*Proposta!$I$23</f>
        <v/>
      </c>
      <c r="D88" s="27">
        <f>SUMIFS('Memória por Ambiente'!$M$2:$M$296,'Memória por Ambiente'!$D$2:$D$296,"B",'Memória por Ambiente'!$B$2:$B$296,"Base",'Memória por Ambiente'!$I$2:$I$296,$A88)*Proposta!$I$23</f>
        <v/>
      </c>
      <c r="E88" s="27">
        <f>SUMIFS('Memória por Ambiente'!$M$2:$M$296,'Memória por Ambiente'!$D$2:$D$296,"C",'Memória por Ambiente'!$B$2:$B$296,"Base",'Memória por Ambiente'!$I$2:$I$296,$A88)*Proposta!$I$23</f>
        <v/>
      </c>
      <c r="F88" s="19">
        <f>SUM(C88:E88)</f>
        <v/>
      </c>
    </row>
    <row r="89">
      <c r="A89" s="7" t="inlineStr">
        <is>
          <t>M34AM44AD2</t>
        </is>
      </c>
      <c r="B89" s="13" t="inlineStr">
        <is>
          <t>R$</t>
        </is>
      </c>
      <c r="C89" s="27">
        <f>SUMIFS('Memória por Ambiente'!$M$2:$M$296,'Memória por Ambiente'!$D$2:$D$296,"A",'Memória por Ambiente'!$B$2:$B$296,"Base",'Memória por Ambiente'!$I$2:$I$296,$A89)*Proposta!$I$24</f>
        <v/>
      </c>
      <c r="D89" s="27">
        <f>SUMIFS('Memória por Ambiente'!$M$2:$M$296,'Memória por Ambiente'!$D$2:$D$296,"B",'Memória por Ambiente'!$B$2:$B$296,"Base",'Memória por Ambiente'!$I$2:$I$296,$A89)*Proposta!$I$24</f>
        <v/>
      </c>
      <c r="E89" s="27">
        <f>SUMIFS('Memória por Ambiente'!$M$2:$M$296,'Memória por Ambiente'!$D$2:$D$296,"C",'Memória por Ambiente'!$B$2:$B$296,"Base",'Memória por Ambiente'!$I$2:$I$296,$A89)*Proposta!$I$24</f>
        <v/>
      </c>
      <c r="F89" s="19">
        <f>SUM(C89:E89)</f>
        <v/>
      </c>
    </row>
    <row r="90">
      <c r="A90" s="7" t="inlineStr">
        <is>
          <t>M44AR05</t>
        </is>
      </c>
      <c r="B90" s="13" t="inlineStr">
        <is>
          <t>R$</t>
        </is>
      </c>
      <c r="C90" s="27">
        <f>SUMIFS('Memória por Ambiente'!$M$2:$M$296,'Memória por Ambiente'!$D$2:$D$296,"A",'Memória por Ambiente'!$B$2:$B$296,"Base",'Memória por Ambiente'!$I$2:$I$296,$A90)*Proposta!$I$25</f>
        <v/>
      </c>
      <c r="D90" s="27">
        <f>SUMIFS('Memória por Ambiente'!$M$2:$M$296,'Memória por Ambiente'!$D$2:$D$296,"B",'Memória por Ambiente'!$B$2:$B$296,"Base",'Memória por Ambiente'!$I$2:$I$296,$A90)*Proposta!$I$25</f>
        <v/>
      </c>
      <c r="E90" s="27">
        <f>SUMIFS('Memória por Ambiente'!$M$2:$M$296,'Memória por Ambiente'!$D$2:$D$296,"C",'Memória por Ambiente'!$B$2:$B$296,"Base",'Memória por Ambiente'!$I$2:$I$296,$A90)*Proposta!$I$25</f>
        <v/>
      </c>
      <c r="F90" s="19">
        <f>SUM(C90:E90)</f>
        <v/>
      </c>
    </row>
    <row r="91">
      <c r="A91" s="7" t="inlineStr">
        <is>
          <t>M44AXPS</t>
        </is>
      </c>
      <c r="B91" s="13" t="inlineStr">
        <is>
          <t>R$</t>
        </is>
      </c>
      <c r="C91" s="27">
        <f>SUMIFS('Memória por Ambiente'!$M$2:$M$296,'Memória por Ambiente'!$D$2:$D$296,"A",'Memória por Ambiente'!$B$2:$B$296,"Base",'Memória por Ambiente'!$I$2:$I$296,$A91)*Proposta!$I$26</f>
        <v/>
      </c>
      <c r="D91" s="27">
        <f>SUMIFS('Memória por Ambiente'!$M$2:$M$296,'Memória por Ambiente'!$D$2:$D$296,"B",'Memória por Ambiente'!$B$2:$B$296,"Base",'Memória por Ambiente'!$I$2:$I$296,$A91)*Proposta!$I$26</f>
        <v/>
      </c>
      <c r="E91" s="27">
        <f>SUMIFS('Memória por Ambiente'!$M$2:$M$296,'Memória por Ambiente'!$D$2:$D$296,"C",'Memória por Ambiente'!$B$2:$B$296,"Base",'Memória por Ambiente'!$I$2:$I$296,$A91)*Proposta!$I$26</f>
        <v/>
      </c>
      <c r="F91" s="19">
        <f>SUM(C91:E91)</f>
        <v/>
      </c>
    </row>
    <row r="92">
      <c r="A92" s="7" t="inlineStr">
        <is>
          <t>JP30A</t>
        </is>
      </c>
      <c r="B92" s="13" t="inlineStr">
        <is>
          <t>R$</t>
        </is>
      </c>
      <c r="C92" s="27">
        <f>SUMIFS('Memória por Ambiente'!$M$2:$M$296,'Memória por Ambiente'!$D$2:$D$296,"A",'Memória por Ambiente'!$B$2:$B$296,"Base",'Memória por Ambiente'!$I$2:$I$296,$A92)*Proposta!$I$27</f>
        <v/>
      </c>
      <c r="D92" s="27">
        <f>SUMIFS('Memória por Ambiente'!$M$2:$M$296,'Memória por Ambiente'!$D$2:$D$296,"B",'Memória por Ambiente'!$B$2:$B$296,"Base",'Memória por Ambiente'!$I$2:$I$296,$A92)*Proposta!$I$27</f>
        <v/>
      </c>
      <c r="E92" s="27">
        <f>SUMIFS('Memória por Ambiente'!$M$2:$M$296,'Memória por Ambiente'!$D$2:$D$296,"C",'Memória por Ambiente'!$B$2:$B$296,"Base",'Memória por Ambiente'!$I$2:$I$296,$A92)*Proposta!$I$27</f>
        <v/>
      </c>
      <c r="F92" s="19">
        <f>SUM(C92:E92)</f>
        <v/>
      </c>
    </row>
    <row r="93">
      <c r="A93" s="7" t="inlineStr">
        <is>
          <t>JP30AR05</t>
        </is>
      </c>
      <c r="B93" s="13" t="inlineStr">
        <is>
          <t>R$</t>
        </is>
      </c>
      <c r="C93" s="27">
        <f>SUMIFS('Memória por Ambiente'!$M$2:$M$296,'Memória por Ambiente'!$D$2:$D$296,"A",'Memória por Ambiente'!$B$2:$B$296,"Base",'Memória por Ambiente'!$I$2:$I$296,$A93)*Proposta!$I$28</f>
        <v/>
      </c>
      <c r="D93" s="27">
        <f>SUMIFS('Memória por Ambiente'!$M$2:$M$296,'Memória por Ambiente'!$D$2:$D$296,"B",'Memória por Ambiente'!$B$2:$B$296,"Base",'Memória por Ambiente'!$I$2:$I$296,$A93)*Proposta!$I$28</f>
        <v/>
      </c>
      <c r="E93" s="27">
        <f>SUMIFS('Memória por Ambiente'!$M$2:$M$296,'Memória por Ambiente'!$D$2:$D$296,"C",'Memória por Ambiente'!$B$2:$B$296,"Base",'Memória por Ambiente'!$I$2:$I$296,$A93)*Proposta!$I$28</f>
        <v/>
      </c>
      <c r="F93" s="19">
        <f>SUM(C93:E93)</f>
        <v/>
      </c>
    </row>
    <row r="94">
      <c r="A94" s="7" t="inlineStr">
        <is>
          <t>CP01</t>
        </is>
      </c>
      <c r="B94" s="13" t="inlineStr">
        <is>
          <t>R$</t>
        </is>
      </c>
      <c r="C94" s="27">
        <f>SUMIFS('Memória por Ambiente'!$N$2:$N$296,'Memória por Ambiente'!$D$2:$D$296,"A",'Memória por Ambiente'!$B$2:$B$296,"Base")*Proposta!$I$32</f>
        <v/>
      </c>
      <c r="D94" s="27">
        <f>SUMIFS('Memória por Ambiente'!$N$2:$N$296,'Memória por Ambiente'!$D$2:$D$296,"B",'Memória por Ambiente'!$B$2:$B$296,"Base")*Proposta!$I$32</f>
        <v/>
      </c>
      <c r="E94" s="27">
        <f>SUMIFS('Memória por Ambiente'!$N$2:$N$296,'Memória por Ambiente'!$D$2:$D$296,"C",'Memória por Ambiente'!$B$2:$B$296,"Base")*Proposta!$I$32</f>
        <v/>
      </c>
      <c r="F94" s="19">
        <f>SUM(C94:E94)</f>
        <v/>
      </c>
    </row>
    <row r="95">
      <c r="A95" s="7" t="inlineStr">
        <is>
          <t>CP02</t>
        </is>
      </c>
      <c r="B95" s="13" t="inlineStr">
        <is>
          <t>R$</t>
        </is>
      </c>
      <c r="C95" s="27">
        <f>SUMIFS('Memória por Ambiente'!$O$2:$O$296,'Memória por Ambiente'!$D$2:$D$296,"A",'Memória por Ambiente'!$B$2:$B$296,"Base")*Proposta!$I$33</f>
        <v/>
      </c>
      <c r="D95" s="27">
        <f>SUMIFS('Memória por Ambiente'!$O$2:$O$296,'Memória por Ambiente'!$D$2:$D$296,"B",'Memória por Ambiente'!$B$2:$B$296,"Base")*Proposta!$I$33</f>
        <v/>
      </c>
      <c r="E95" s="27">
        <f>SUMIFS('Memória por Ambiente'!$O$2:$O$296,'Memória por Ambiente'!$D$2:$D$296,"C",'Memória por Ambiente'!$B$2:$B$296,"Base")*Proposta!$I$33</f>
        <v/>
      </c>
      <c r="F95" s="19">
        <f>SUM(C95:E95)</f>
        <v/>
      </c>
    </row>
    <row r="96">
      <c r="A96" s="7" t="inlineStr">
        <is>
          <t>CP03</t>
        </is>
      </c>
      <c r="B96" s="13" t="inlineStr">
        <is>
          <t>R$</t>
        </is>
      </c>
      <c r="C96" s="27">
        <f>SUMIFS('Memória por Ambiente'!$P$2:$P$296,'Memória por Ambiente'!$D$2:$D$296,"A",'Memória por Ambiente'!$B$2:$B$296,"Base")*Proposta!$I$34</f>
        <v/>
      </c>
      <c r="D96" s="27">
        <f>SUMIFS('Memória por Ambiente'!$P$2:$P$296,'Memória por Ambiente'!$D$2:$D$296,"B",'Memória por Ambiente'!$B$2:$B$296,"Base")*Proposta!$I$34</f>
        <v/>
      </c>
      <c r="E96" s="27">
        <f>SUMIFS('Memória por Ambiente'!$P$2:$P$296,'Memória por Ambiente'!$D$2:$D$296,"C",'Memória por Ambiente'!$B$2:$B$296,"Base")*Proposta!$I$34</f>
        <v/>
      </c>
      <c r="F96" s="19">
        <f>SUM(C96:E96)</f>
        <v/>
      </c>
    </row>
    <row r="97">
      <c r="A97" s="7" t="inlineStr">
        <is>
          <t>CP04</t>
        </is>
      </c>
      <c r="B97" s="13" t="inlineStr">
        <is>
          <t>R$</t>
        </is>
      </c>
      <c r="C97" s="27">
        <f>SUMIFS('Memória por Ambiente'!$Q$2:$Q$296,'Memória por Ambiente'!$D$2:$D$296,"A",'Memória por Ambiente'!$B$2:$B$296,"Base")*Proposta!$I$35</f>
        <v/>
      </c>
      <c r="D97" s="27">
        <f>SUMIFS('Memória por Ambiente'!$Q$2:$Q$296,'Memória por Ambiente'!$D$2:$D$296,"B",'Memória por Ambiente'!$B$2:$B$296,"Base")*Proposta!$I$35</f>
        <v/>
      </c>
      <c r="E97" s="27">
        <f>SUMIFS('Memória por Ambiente'!$Q$2:$Q$296,'Memória por Ambiente'!$D$2:$D$296,"C",'Memória por Ambiente'!$B$2:$B$296,"Base")*Proposta!$I$35</f>
        <v/>
      </c>
      <c r="F97" s="19">
        <f>SUM(C97:E97)</f>
        <v/>
      </c>
    </row>
    <row r="98">
      <c r="A98" s="7" t="inlineStr">
        <is>
          <t>CP05</t>
        </is>
      </c>
      <c r="B98" s="13" t="inlineStr">
        <is>
          <t>R$</t>
        </is>
      </c>
      <c r="C98" s="27">
        <f>SUMIFS('Memória por Ambiente'!$R$2:$R$296,'Memória por Ambiente'!$D$2:$D$296,"A",'Memória por Ambiente'!$B$2:$B$296,"Base")*Proposta!$I$36</f>
        <v/>
      </c>
      <c r="D98" s="27">
        <f>SUMIFS('Memória por Ambiente'!$R$2:$R$296,'Memória por Ambiente'!$D$2:$D$296,"B",'Memória por Ambiente'!$B$2:$B$296,"Base")*Proposta!$I$36</f>
        <v/>
      </c>
      <c r="E98" s="27">
        <f>SUMIFS('Memória por Ambiente'!$R$2:$R$296,'Memória por Ambiente'!$D$2:$D$296,"C",'Memória por Ambiente'!$B$2:$B$296,"Base")*Proposta!$I$36</f>
        <v/>
      </c>
      <c r="F98" s="19">
        <f>SUM(C98:E98)</f>
        <v/>
      </c>
    </row>
    <row r="99">
      <c r="A99" s="18" t="inlineStr">
        <is>
          <t>TOTAL</t>
        </is>
      </c>
      <c r="B99" s="20" t="n"/>
      <c r="C99" s="19">
        <f>SUM(C78:C98)</f>
        <v/>
      </c>
      <c r="D99" s="19">
        <f>SUM(D78:D98)</f>
        <v/>
      </c>
      <c r="E99" s="19">
        <f>SUM(E78:E98)</f>
        <v/>
      </c>
      <c r="F99" s="19">
        <f>SUM(F78:F98)</f>
        <v/>
      </c>
    </row>
  </sheetData>
  <mergeCells count="4">
    <mergeCell ref="A27:H27"/>
    <mergeCell ref="A3:H3"/>
    <mergeCell ref="A52:F52"/>
    <mergeCell ref="A76:F7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6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13" customWidth="1" min="3" max="3"/>
    <col width="6" customWidth="1" min="4" max="4"/>
    <col width="6" customWidth="1" min="5" max="5"/>
    <col width="8" customWidth="1" min="6" max="6"/>
    <col width="34" customWidth="1" min="7" max="7"/>
    <col width="6" customWidth="1" min="8" max="8"/>
    <col width="12" customWidth="1" min="9" max="9"/>
    <col width="11" customWidth="1" min="10" max="10"/>
    <col width="11" customWidth="1" min="11" max="11"/>
    <col width="12" customWidth="1" min="12" max="12"/>
    <col width="1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0" customWidth="1" min="19" max="19"/>
  </cols>
  <sheetData>
    <row r="1" ht="45" customHeight="1">
      <c r="A1" s="11" t="inlineStr">
        <is>
          <t>Nº</t>
        </is>
      </c>
      <c r="B1" s="11" t="inlineStr">
        <is>
          <t>Grupo</t>
        </is>
      </c>
      <c r="C1" s="11" t="inlineStr">
        <is>
          <t>Pavimento</t>
        </is>
      </c>
      <c r="D1" s="11" t="inlineStr">
        <is>
          <t>Bloco</t>
        </is>
      </c>
      <c r="E1" s="11" t="inlineStr">
        <is>
          <t>Folha</t>
        </is>
      </c>
      <c r="F1" s="11" t="inlineStr">
        <is>
          <t>Item</t>
        </is>
      </c>
      <c r="G1" s="11" t="inlineStr">
        <is>
          <t>Ambiente</t>
        </is>
      </c>
      <c r="H1" s="11" t="inlineStr">
        <is>
          <t>Ref.</t>
        </is>
      </c>
      <c r="I1" s="11" t="inlineStr">
        <is>
          <t>Código sistema</t>
        </is>
      </c>
      <c r="J1" s="11" t="inlineStr">
        <is>
          <t>Área horiz. local (m²)</t>
        </is>
      </c>
      <c r="K1" s="11" t="inlineStr">
        <is>
          <t>Área vert. local (m²)</t>
        </is>
      </c>
      <c r="L1" s="11" t="inlineStr">
        <is>
          <t>Repetições (pav × andar × torre)</t>
        </is>
      </c>
      <c r="M1" s="11" t="inlineStr">
        <is>
          <t>Área do sistema (m²)</t>
        </is>
      </c>
      <c r="N1" s="11" t="inlineStr">
        <is>
          <t>CP01 (m²)</t>
        </is>
      </c>
      <c r="O1" s="11" t="inlineStr">
        <is>
          <t>CP02 (m²)</t>
        </is>
      </c>
      <c r="P1" s="11" t="inlineStr">
        <is>
          <t>CP03 (m²)</t>
        </is>
      </c>
      <c r="Q1" s="11" t="inlineStr">
        <is>
          <t>CP04 (m²)</t>
        </is>
      </c>
      <c r="R1" s="11" t="inlineStr">
        <is>
          <t>CP05 (m²)</t>
        </is>
      </c>
      <c r="S1" s="11" t="inlineStr">
        <is>
          <t>Linha na planilha R03</t>
        </is>
      </c>
    </row>
    <row r="2">
      <c r="A2" s="28" t="n">
        <v>1</v>
      </c>
      <c r="B2" s="28" t="inlineStr">
        <is>
          <t>Base</t>
        </is>
      </c>
      <c r="C2" s="28" t="inlineStr">
        <is>
          <t>1º Subsolo</t>
        </is>
      </c>
      <c r="D2" s="28" t="inlineStr">
        <is>
          <t>A</t>
        </is>
      </c>
      <c r="E2" s="28" t="n">
        <v>105</v>
      </c>
      <c r="F2" s="28" t="inlineStr">
        <is>
          <t>3.5.1</t>
        </is>
      </c>
      <c r="G2" s="28" t="inlineStr">
        <is>
          <t>Banho 01</t>
        </is>
      </c>
      <c r="H2" s="28" t="inlineStr">
        <is>
          <t>1</t>
        </is>
      </c>
      <c r="I2" s="28" t="inlineStr">
        <is>
          <t>I20EL</t>
        </is>
      </c>
      <c r="J2" s="29" t="n">
        <v>3.66</v>
      </c>
      <c r="K2" s="29" t="n">
        <v>8.140000000000001</v>
      </c>
      <c r="L2" s="30" t="n">
        <v>5</v>
      </c>
      <c r="M2" s="25">
        <f>(J2+K2)*L2</f>
        <v/>
      </c>
      <c r="N2" s="25">
        <f>11.8*L2</f>
        <v/>
      </c>
      <c r="O2" s="25" t="n"/>
      <c r="P2" s="25" t="n"/>
      <c r="Q2" s="25" t="n"/>
      <c r="R2" s="25" t="n"/>
      <c r="S2" s="28" t="n">
        <v>10</v>
      </c>
    </row>
    <row r="3">
      <c r="A3" s="28" t="n">
        <v>2</v>
      </c>
      <c r="B3" s="28" t="inlineStr">
        <is>
          <t>Base</t>
        </is>
      </c>
      <c r="C3" s="28" t="inlineStr">
        <is>
          <t>1º Subsolo</t>
        </is>
      </c>
      <c r="D3" s="28" t="inlineStr">
        <is>
          <t>A</t>
        </is>
      </c>
      <c r="E3" s="28" t="n">
        <v>105</v>
      </c>
      <c r="F3" s="28" t="inlineStr">
        <is>
          <t>3.5.1</t>
        </is>
      </c>
      <c r="G3" s="28" t="inlineStr">
        <is>
          <t>Banho 02</t>
        </is>
      </c>
      <c r="H3" s="28" t="inlineStr">
        <is>
          <t>2</t>
        </is>
      </c>
      <c r="I3" s="28" t="inlineStr">
        <is>
          <t>I20EL</t>
        </is>
      </c>
      <c r="J3" s="29" t="n">
        <v>3.61</v>
      </c>
      <c r="K3" s="29" t="n">
        <v>8.130000000000001</v>
      </c>
      <c r="L3" s="30" t="n">
        <v>5</v>
      </c>
      <c r="M3" s="25">
        <f>(J3+K3)*L3</f>
        <v/>
      </c>
      <c r="N3" s="25">
        <f>11.74*L3</f>
        <v/>
      </c>
      <c r="O3" s="25" t="n"/>
      <c r="P3" s="25" t="n"/>
      <c r="Q3" s="25" t="n"/>
      <c r="R3" s="25" t="n"/>
      <c r="S3" s="28" t="n">
        <v>18</v>
      </c>
    </row>
    <row r="4">
      <c r="A4" s="28" t="n">
        <v>3</v>
      </c>
      <c r="B4" s="28" t="inlineStr">
        <is>
          <t>Base</t>
        </is>
      </c>
      <c r="C4" s="28" t="inlineStr">
        <is>
          <t>1º Subsolo</t>
        </is>
      </c>
      <c r="D4" s="28" t="inlineStr">
        <is>
          <t>A</t>
        </is>
      </c>
      <c r="E4" s="28" t="n">
        <v>105</v>
      </c>
      <c r="F4" s="28" t="inlineStr">
        <is>
          <t>3.5.1</t>
        </is>
      </c>
      <c r="G4" s="28" t="inlineStr">
        <is>
          <t>Banho Master Elevado</t>
        </is>
      </c>
      <c r="H4" s="28" t="inlineStr">
        <is>
          <t>3</t>
        </is>
      </c>
      <c r="I4" s="28" t="inlineStr">
        <is>
          <t>I20EL</t>
        </is>
      </c>
      <c r="J4" s="29" t="n">
        <v>6.51</v>
      </c>
      <c r="K4" s="29" t="n">
        <v>7.37</v>
      </c>
      <c r="L4" s="30" t="n">
        <v>2</v>
      </c>
      <c r="M4" s="25">
        <f>(J4+K4)*L4</f>
        <v/>
      </c>
      <c r="N4" s="25">
        <f>13.88*L4</f>
        <v/>
      </c>
      <c r="O4" s="25" t="n"/>
      <c r="P4" s="25" t="n"/>
      <c r="Q4" s="25" t="n"/>
      <c r="R4" s="25" t="n"/>
      <c r="S4" s="28" t="n">
        <v>26</v>
      </c>
    </row>
    <row r="5">
      <c r="A5" s="28" t="n">
        <v>4</v>
      </c>
      <c r="B5" s="28" t="inlineStr">
        <is>
          <t>Base</t>
        </is>
      </c>
      <c r="C5" s="28" t="inlineStr">
        <is>
          <t>1º Subsolo</t>
        </is>
      </c>
      <c r="D5" s="28" t="inlineStr">
        <is>
          <t>A</t>
        </is>
      </c>
      <c r="E5" s="28" t="n">
        <v>105</v>
      </c>
      <c r="F5" s="28" t="inlineStr">
        <is>
          <t>3.5.2</t>
        </is>
      </c>
      <c r="G5" s="28" t="inlineStr">
        <is>
          <t>Banho Master Semi-Elevado</t>
        </is>
      </c>
      <c r="H5" s="28" t="inlineStr">
        <is>
          <t>4</t>
        </is>
      </c>
      <c r="I5" s="28" t="inlineStr">
        <is>
          <t>C3I20EL</t>
        </is>
      </c>
      <c r="J5" s="29" t="n">
        <v>6.51</v>
      </c>
      <c r="K5" s="29" t="n">
        <v>7.37</v>
      </c>
      <c r="L5" s="30" t="n">
        <v>3</v>
      </c>
      <c r="M5" s="25">
        <f>(J5+K5)*L5</f>
        <v/>
      </c>
      <c r="N5" s="25">
        <f>13.88*L5</f>
        <v/>
      </c>
      <c r="O5" s="25" t="n"/>
      <c r="P5" s="25" t="n"/>
      <c r="Q5" s="25" t="n"/>
      <c r="R5" s="25" t="n"/>
      <c r="S5" s="28" t="n">
        <v>35</v>
      </c>
    </row>
    <row r="6">
      <c r="A6" s="28" t="n">
        <v>5</v>
      </c>
      <c r="B6" s="28" t="inlineStr">
        <is>
          <t>Base</t>
        </is>
      </c>
      <c r="C6" s="28" t="inlineStr">
        <is>
          <t>1º Subsolo</t>
        </is>
      </c>
      <c r="D6" s="28" t="inlineStr">
        <is>
          <t>A</t>
        </is>
      </c>
      <c r="E6" s="28" t="n">
        <v>105</v>
      </c>
      <c r="F6" s="28" t="inlineStr">
        <is>
          <t>3.5.3</t>
        </is>
      </c>
      <c r="G6" s="28" t="inlineStr">
        <is>
          <t>Terraço</t>
        </is>
      </c>
      <c r="H6" s="28" t="inlineStr">
        <is>
          <t>5</t>
        </is>
      </c>
      <c r="I6" s="28" t="inlineStr">
        <is>
          <t>C3</t>
        </is>
      </c>
      <c r="J6" s="29" t="n">
        <v>18.4</v>
      </c>
      <c r="K6" s="29" t="n">
        <v>5.12</v>
      </c>
      <c r="L6" s="30" t="n">
        <v>5</v>
      </c>
      <c r="M6" s="25">
        <f>(J6+K6)*L6</f>
        <v/>
      </c>
      <c r="N6" s="25">
        <f>23.52*L6</f>
        <v/>
      </c>
      <c r="O6" s="25" t="n"/>
      <c r="P6" s="25" t="n"/>
      <c r="Q6" s="25" t="n"/>
      <c r="R6" s="25" t="n"/>
      <c r="S6" s="28" t="n">
        <v>46</v>
      </c>
    </row>
    <row r="7">
      <c r="A7" s="28" t="n">
        <v>6</v>
      </c>
      <c r="B7" s="28" t="inlineStr">
        <is>
          <t>Base</t>
        </is>
      </c>
      <c r="C7" s="28" t="inlineStr">
        <is>
          <t>1º Subsolo</t>
        </is>
      </c>
      <c r="D7" s="28" t="inlineStr">
        <is>
          <t>A</t>
        </is>
      </c>
      <c r="E7" s="28" t="n">
        <v>105</v>
      </c>
      <c r="F7" s="28" t="inlineStr">
        <is>
          <t>3.5.4</t>
        </is>
      </c>
      <c r="G7" s="28" t="inlineStr">
        <is>
          <t>Caixão Perdido</t>
        </is>
      </c>
      <c r="H7" s="28" t="inlineStr">
        <is>
          <t>6</t>
        </is>
      </c>
      <c r="I7" s="28" t="inlineStr">
        <is>
          <t>C3</t>
        </is>
      </c>
      <c r="J7" s="29" t="n">
        <v>2.95</v>
      </c>
      <c r="K7" s="29" t="n">
        <v>10.46</v>
      </c>
      <c r="L7" s="30" t="n">
        <v>5</v>
      </c>
      <c r="M7" s="25">
        <f>(J7+K7)*L7</f>
        <v/>
      </c>
      <c r="N7" s="25">
        <f>13.41*L7</f>
        <v/>
      </c>
      <c r="O7" s="25">
        <f>13.41*L7</f>
        <v/>
      </c>
      <c r="P7" s="25" t="n"/>
      <c r="Q7" s="25" t="n"/>
      <c r="R7" s="25" t="n"/>
      <c r="S7" s="28" t="n">
        <v>54</v>
      </c>
    </row>
    <row r="8">
      <c r="A8" s="28" t="n">
        <v>7</v>
      </c>
      <c r="B8" s="28" t="inlineStr">
        <is>
          <t>Base</t>
        </is>
      </c>
      <c r="C8" s="28" t="inlineStr">
        <is>
          <t>1º Subsolo</t>
        </is>
      </c>
      <c r="D8" s="28" t="inlineStr">
        <is>
          <t>A</t>
        </is>
      </c>
      <c r="E8" s="28" t="n">
        <v>105</v>
      </c>
      <c r="F8" s="28" t="inlineStr">
        <is>
          <t>3.5.5</t>
        </is>
      </c>
      <c r="G8" s="28" t="inlineStr">
        <is>
          <t>Floreiras</t>
        </is>
      </c>
      <c r="H8" s="28" t="inlineStr">
        <is>
          <t>7</t>
        </is>
      </c>
      <c r="I8" s="28" t="inlineStr">
        <is>
          <t>JP30AR05</t>
        </is>
      </c>
      <c r="J8" s="29" t="n">
        <v>24</v>
      </c>
      <c r="K8" s="29" t="n">
        <v>106.75</v>
      </c>
      <c r="L8" s="30" t="n">
        <v>1</v>
      </c>
      <c r="M8" s="25">
        <f>(J8+K8)*L8</f>
        <v/>
      </c>
      <c r="N8" s="25">
        <f>130.75*L8</f>
        <v/>
      </c>
      <c r="O8" s="25">
        <f>130.75*L8</f>
        <v/>
      </c>
      <c r="P8" s="25" t="n"/>
      <c r="Q8" s="25" t="n"/>
      <c r="R8" s="25">
        <f>24.0*L8</f>
        <v/>
      </c>
      <c r="S8" s="28" t="n">
        <v>65</v>
      </c>
    </row>
    <row r="9">
      <c r="A9" s="28" t="n">
        <v>8</v>
      </c>
      <c r="B9" s="28" t="inlineStr">
        <is>
          <t>Base</t>
        </is>
      </c>
      <c r="C9" s="28" t="inlineStr">
        <is>
          <t>1º Subsolo</t>
        </is>
      </c>
      <c r="D9" s="28" t="inlineStr">
        <is>
          <t>A</t>
        </is>
      </c>
      <c r="E9" s="28" t="n">
        <v>105</v>
      </c>
      <c r="F9" s="28" t="inlineStr">
        <is>
          <t>3.5.6</t>
        </is>
      </c>
      <c r="G9" s="28" t="inlineStr">
        <is>
          <t>Escada 01</t>
        </is>
      </c>
      <c r="H9" s="28" t="inlineStr">
        <is>
          <t>8</t>
        </is>
      </c>
      <c r="I9" s="28" t="inlineStr">
        <is>
          <t>M44A</t>
        </is>
      </c>
      <c r="J9" s="29" t="n">
        <v>5.15</v>
      </c>
      <c r="K9" s="29" t="n">
        <v>5.17</v>
      </c>
      <c r="L9" s="30" t="n">
        <v>1</v>
      </c>
      <c r="M9" s="25">
        <f>(J9+K9)*L9</f>
        <v/>
      </c>
      <c r="N9" s="25">
        <f>10.32*L9</f>
        <v/>
      </c>
      <c r="O9" s="25">
        <f>5.15*L9</f>
        <v/>
      </c>
      <c r="P9" s="25">
        <f>5.17*L9</f>
        <v/>
      </c>
      <c r="Q9" s="25" t="n"/>
      <c r="R9" s="25" t="n"/>
      <c r="S9" s="28" t="n">
        <v>80</v>
      </c>
    </row>
    <row r="10">
      <c r="A10" s="28" t="n">
        <v>9</v>
      </c>
      <c r="B10" s="28" t="inlineStr">
        <is>
          <t>Base</t>
        </is>
      </c>
      <c r="C10" s="28" t="inlineStr">
        <is>
          <t>1º Subsolo</t>
        </is>
      </c>
      <c r="D10" s="28" t="inlineStr">
        <is>
          <t>A</t>
        </is>
      </c>
      <c r="E10" s="28" t="n">
        <v>105</v>
      </c>
      <c r="F10" s="28" t="inlineStr">
        <is>
          <t>3.5.6</t>
        </is>
      </c>
      <c r="G10" s="28" t="inlineStr">
        <is>
          <t>Escada 02</t>
        </is>
      </c>
      <c r="H10" s="28" t="inlineStr">
        <is>
          <t>9</t>
        </is>
      </c>
      <c r="I10" s="28" t="inlineStr">
        <is>
          <t>M44A</t>
        </is>
      </c>
      <c r="J10" s="29" t="n">
        <v>2.49</v>
      </c>
      <c r="K10" s="29" t="n">
        <v>2.99</v>
      </c>
      <c r="L10" s="30" t="n">
        <v>1</v>
      </c>
      <c r="M10" s="25">
        <f>(J10+K10)*L10</f>
        <v/>
      </c>
      <c r="N10" s="25">
        <f>5.48*L10</f>
        <v/>
      </c>
      <c r="O10" s="25">
        <f>2.49*L10</f>
        <v/>
      </c>
      <c r="P10" s="25">
        <f>2.99*L10</f>
        <v/>
      </c>
      <c r="Q10" s="25" t="n"/>
      <c r="R10" s="25" t="n"/>
      <c r="S10" s="28" t="n">
        <v>94</v>
      </c>
    </row>
    <row r="11">
      <c r="A11" s="28" t="n">
        <v>10</v>
      </c>
      <c r="B11" s="28" t="inlineStr">
        <is>
          <t>Base</t>
        </is>
      </c>
      <c r="C11" s="28" t="inlineStr">
        <is>
          <t>1º Subsolo</t>
        </is>
      </c>
      <c r="D11" s="28" t="inlineStr">
        <is>
          <t>A</t>
        </is>
      </c>
      <c r="E11" s="28" t="n">
        <v>105</v>
      </c>
      <c r="F11" s="28" t="inlineStr">
        <is>
          <t>3.5.7</t>
        </is>
      </c>
      <c r="G11" s="28" t="inlineStr">
        <is>
          <t>Rampa de Veículos</t>
        </is>
      </c>
      <c r="H11" s="28" t="inlineStr">
        <is>
          <t>10</t>
        </is>
      </c>
      <c r="I11" s="28" t="inlineStr">
        <is>
          <t>M44AC</t>
        </is>
      </c>
      <c r="J11" s="29" t="n">
        <v>82.37</v>
      </c>
      <c r="K11" s="29" t="n">
        <v>8.16</v>
      </c>
      <c r="L11" s="30" t="n">
        <v>1</v>
      </c>
      <c r="M11" s="25">
        <f>(J11+K11)*L11</f>
        <v/>
      </c>
      <c r="N11" s="25">
        <f>90.53*L11</f>
        <v/>
      </c>
      <c r="O11" s="25" t="n"/>
      <c r="P11" s="25" t="n"/>
      <c r="Q11" s="25">
        <f>82.37*L11</f>
        <v/>
      </c>
      <c r="R11" s="25" t="n"/>
      <c r="S11" s="28" t="n">
        <v>109</v>
      </c>
    </row>
    <row r="12">
      <c r="A12" s="28" t="n">
        <v>11</v>
      </c>
      <c r="B12" s="28" t="inlineStr">
        <is>
          <t>Base</t>
        </is>
      </c>
      <c r="C12" s="28" t="inlineStr">
        <is>
          <t>1º Subsolo</t>
        </is>
      </c>
      <c r="D12" s="28" t="inlineStr">
        <is>
          <t>A</t>
        </is>
      </c>
      <c r="E12" s="28" t="n">
        <v>105</v>
      </c>
      <c r="F12" s="28" t="inlineStr">
        <is>
          <t>3.5.8</t>
        </is>
      </c>
      <c r="G12" s="28" t="inlineStr">
        <is>
          <t>Barrado</t>
        </is>
      </c>
      <c r="H12" s="28" t="inlineStr">
        <is>
          <t>11</t>
        </is>
      </c>
      <c r="I12" s="28" t="inlineStr">
        <is>
          <t>C4</t>
        </is>
      </c>
      <c r="J12" s="29" t="n">
        <v>0</v>
      </c>
      <c r="K12" s="29" t="n">
        <v>38.22</v>
      </c>
      <c r="L12" s="30" t="n">
        <v>1</v>
      </c>
      <c r="M12" s="25">
        <f>(J12+K12)*L12</f>
        <v/>
      </c>
      <c r="N12" s="25" t="n"/>
      <c r="O12" s="25">
        <f>38.22*L12</f>
        <v/>
      </c>
      <c r="P12" s="25" t="n"/>
      <c r="Q12" s="25" t="n"/>
      <c r="R12" s="25" t="n"/>
      <c r="S12" s="28" t="n">
        <v>125</v>
      </c>
    </row>
    <row r="13">
      <c r="A13" s="28" t="n">
        <v>12</v>
      </c>
      <c r="B13" s="28" t="inlineStr">
        <is>
          <t>Base</t>
        </is>
      </c>
      <c r="C13" s="28" t="inlineStr">
        <is>
          <t>1º Subsolo</t>
        </is>
      </c>
      <c r="D13" s="28" t="inlineStr">
        <is>
          <t>B</t>
        </is>
      </c>
      <c r="E13" s="28" t="n">
        <v>106</v>
      </c>
      <c r="F13" s="28" t="inlineStr">
        <is>
          <t>3.6.1</t>
        </is>
      </c>
      <c r="G13" s="28" t="inlineStr">
        <is>
          <t>Banho 01</t>
        </is>
      </c>
      <c r="H13" s="28" t="inlineStr">
        <is>
          <t>1</t>
        </is>
      </c>
      <c r="I13" s="28" t="inlineStr">
        <is>
          <t>I20EL</t>
        </is>
      </c>
      <c r="J13" s="29" t="n">
        <v>3.66</v>
      </c>
      <c r="K13" s="29" t="n">
        <v>8.140000000000001</v>
      </c>
      <c r="L13" s="30" t="n">
        <v>4</v>
      </c>
      <c r="M13" s="25">
        <f>(J13+K13)*L13</f>
        <v/>
      </c>
      <c r="N13" s="25">
        <f>11.8*L13</f>
        <v/>
      </c>
      <c r="O13" s="25" t="n"/>
      <c r="P13" s="25" t="n"/>
      <c r="Q13" s="25" t="n"/>
      <c r="R13" s="25" t="n"/>
      <c r="S13" s="28" t="n">
        <v>145</v>
      </c>
    </row>
    <row r="14">
      <c r="A14" s="28" t="n">
        <v>13</v>
      </c>
      <c r="B14" s="28" t="inlineStr">
        <is>
          <t>Base</t>
        </is>
      </c>
      <c r="C14" s="28" t="inlineStr">
        <is>
          <t>1º Subsolo</t>
        </is>
      </c>
      <c r="D14" s="28" t="inlineStr">
        <is>
          <t>B</t>
        </is>
      </c>
      <c r="E14" s="28" t="n">
        <v>106</v>
      </c>
      <c r="F14" s="28" t="inlineStr">
        <is>
          <t>3.6.1</t>
        </is>
      </c>
      <c r="G14" s="28" t="inlineStr">
        <is>
          <t>Banho 02</t>
        </is>
      </c>
      <c r="H14" s="28" t="inlineStr">
        <is>
          <t>2</t>
        </is>
      </c>
      <c r="I14" s="28" t="inlineStr">
        <is>
          <t>I20EL</t>
        </is>
      </c>
      <c r="J14" s="29" t="n">
        <v>3.61</v>
      </c>
      <c r="K14" s="29" t="n">
        <v>8.130000000000001</v>
      </c>
      <c r="L14" s="30" t="n">
        <v>4</v>
      </c>
      <c r="M14" s="25">
        <f>(J14+K14)*L14</f>
        <v/>
      </c>
      <c r="N14" s="25">
        <f>11.74*L14</f>
        <v/>
      </c>
      <c r="O14" s="25" t="n"/>
      <c r="P14" s="25" t="n"/>
      <c r="Q14" s="25" t="n"/>
      <c r="R14" s="25" t="n"/>
      <c r="S14" s="28" t="n">
        <v>153</v>
      </c>
    </row>
    <row r="15">
      <c r="A15" s="28" t="n">
        <v>14</v>
      </c>
      <c r="B15" s="28" t="inlineStr">
        <is>
          <t>Base</t>
        </is>
      </c>
      <c r="C15" s="28" t="inlineStr">
        <is>
          <t>1º Subsolo</t>
        </is>
      </c>
      <c r="D15" s="28" t="inlineStr">
        <is>
          <t>B</t>
        </is>
      </c>
      <c r="E15" s="28" t="n">
        <v>106</v>
      </c>
      <c r="F15" s="28" t="inlineStr">
        <is>
          <t>3.6.1</t>
        </is>
      </c>
      <c r="G15" s="28" t="inlineStr">
        <is>
          <t>Banho Master Elevado</t>
        </is>
      </c>
      <c r="H15" s="28" t="inlineStr">
        <is>
          <t>3</t>
        </is>
      </c>
      <c r="I15" s="28" t="inlineStr">
        <is>
          <t>I20EL</t>
        </is>
      </c>
      <c r="J15" s="29" t="n">
        <v>6.51</v>
      </c>
      <c r="K15" s="29" t="n">
        <v>7.37</v>
      </c>
      <c r="L15" s="30" t="n">
        <v>2</v>
      </c>
      <c r="M15" s="25">
        <f>(J15+K15)*L15</f>
        <v/>
      </c>
      <c r="N15" s="25">
        <f>13.88*L15</f>
        <v/>
      </c>
      <c r="O15" s="25" t="n"/>
      <c r="P15" s="25" t="n"/>
      <c r="Q15" s="25" t="n"/>
      <c r="R15" s="25" t="n"/>
      <c r="S15" s="28" t="n">
        <v>161</v>
      </c>
    </row>
    <row r="16">
      <c r="A16" s="28" t="n">
        <v>15</v>
      </c>
      <c r="B16" s="28" t="inlineStr">
        <is>
          <t>Base</t>
        </is>
      </c>
      <c r="C16" s="28" t="inlineStr">
        <is>
          <t>1º Subsolo</t>
        </is>
      </c>
      <c r="D16" s="28" t="inlineStr">
        <is>
          <t>B</t>
        </is>
      </c>
      <c r="E16" s="28" t="n">
        <v>106</v>
      </c>
      <c r="F16" s="28" t="inlineStr">
        <is>
          <t>3.6.2</t>
        </is>
      </c>
      <c r="G16" s="28" t="inlineStr">
        <is>
          <t>Banho Master Semi-Elevado</t>
        </is>
      </c>
      <c r="H16" s="28" t="inlineStr">
        <is>
          <t>4</t>
        </is>
      </c>
      <c r="I16" s="28" t="inlineStr">
        <is>
          <t>C3I20EL</t>
        </is>
      </c>
      <c r="J16" s="29" t="n">
        <v>6.51</v>
      </c>
      <c r="K16" s="29" t="n">
        <v>7.37</v>
      </c>
      <c r="L16" s="30" t="n">
        <v>2</v>
      </c>
      <c r="M16" s="25">
        <f>(J16+K16)*L16</f>
        <v/>
      </c>
      <c r="N16" s="25">
        <f>13.88*L16</f>
        <v/>
      </c>
      <c r="O16" s="25" t="n"/>
      <c r="P16" s="25" t="n"/>
      <c r="Q16" s="25" t="n"/>
      <c r="R16" s="25" t="n"/>
      <c r="S16" s="28" t="n">
        <v>170</v>
      </c>
    </row>
    <row r="17">
      <c r="A17" s="28" t="n">
        <v>16</v>
      </c>
      <c r="B17" s="28" t="inlineStr">
        <is>
          <t>Base</t>
        </is>
      </c>
      <c r="C17" s="28" t="inlineStr">
        <is>
          <t>1º Subsolo</t>
        </is>
      </c>
      <c r="D17" s="28" t="inlineStr">
        <is>
          <t>B</t>
        </is>
      </c>
      <c r="E17" s="28" t="n">
        <v>106</v>
      </c>
      <c r="F17" s="28" t="inlineStr">
        <is>
          <t>3.6.3</t>
        </is>
      </c>
      <c r="G17" s="28" t="inlineStr">
        <is>
          <t>Terraço</t>
        </is>
      </c>
      <c r="H17" s="28" t="inlineStr">
        <is>
          <t>5</t>
        </is>
      </c>
      <c r="I17" s="28" t="inlineStr">
        <is>
          <t>C3</t>
        </is>
      </c>
      <c r="J17" s="29" t="n">
        <v>18.4</v>
      </c>
      <c r="K17" s="29" t="n">
        <v>5.12</v>
      </c>
      <c r="L17" s="30" t="n">
        <v>4</v>
      </c>
      <c r="M17" s="25">
        <f>(J17+K17)*L17</f>
        <v/>
      </c>
      <c r="N17" s="25">
        <f>23.52*L17</f>
        <v/>
      </c>
      <c r="O17" s="25" t="n"/>
      <c r="P17" s="25" t="n"/>
      <c r="Q17" s="25" t="n"/>
      <c r="R17" s="25" t="n"/>
      <c r="S17" s="28" t="n">
        <v>181</v>
      </c>
    </row>
    <row r="18">
      <c r="A18" s="28" t="n">
        <v>17</v>
      </c>
      <c r="B18" s="28" t="inlineStr">
        <is>
          <t>Base</t>
        </is>
      </c>
      <c r="C18" s="28" t="inlineStr">
        <is>
          <t>1º Subsolo</t>
        </is>
      </c>
      <c r="D18" s="28" t="inlineStr">
        <is>
          <t>B</t>
        </is>
      </c>
      <c r="E18" s="28" t="n">
        <v>106</v>
      </c>
      <c r="F18" s="28" t="inlineStr">
        <is>
          <t>3.6.4</t>
        </is>
      </c>
      <c r="G18" s="28" t="inlineStr">
        <is>
          <t>Caixão Perdido</t>
        </is>
      </c>
      <c r="H18" s="28" t="inlineStr">
        <is>
          <t>6</t>
        </is>
      </c>
      <c r="I18" s="28" t="inlineStr">
        <is>
          <t>C3</t>
        </is>
      </c>
      <c r="J18" s="29" t="n">
        <v>2.95</v>
      </c>
      <c r="K18" s="29" t="n">
        <v>10.46</v>
      </c>
      <c r="L18" s="30" t="n">
        <v>4</v>
      </c>
      <c r="M18" s="25">
        <f>(J18+K18)*L18</f>
        <v/>
      </c>
      <c r="N18" s="25">
        <f>13.41*L18</f>
        <v/>
      </c>
      <c r="O18" s="25">
        <f>13.41*L18</f>
        <v/>
      </c>
      <c r="P18" s="25" t="n"/>
      <c r="Q18" s="25" t="n"/>
      <c r="R18" s="25" t="n"/>
      <c r="S18" s="28" t="n">
        <v>189</v>
      </c>
    </row>
    <row r="19">
      <c r="A19" s="28" t="n">
        <v>18</v>
      </c>
      <c r="B19" s="28" t="inlineStr">
        <is>
          <t>Base</t>
        </is>
      </c>
      <c r="C19" s="28" t="inlineStr">
        <is>
          <t>1º Subsolo</t>
        </is>
      </c>
      <c r="D19" s="28" t="inlineStr">
        <is>
          <t>B</t>
        </is>
      </c>
      <c r="E19" s="28" t="n">
        <v>106</v>
      </c>
      <c r="F19" s="28" t="inlineStr">
        <is>
          <t>3.6.5</t>
        </is>
      </c>
      <c r="G19" s="28" t="inlineStr">
        <is>
          <t>Barrado</t>
        </is>
      </c>
      <c r="H19" s="28" t="inlineStr">
        <is>
          <t>7</t>
        </is>
      </c>
      <c r="I19" s="28" t="inlineStr">
        <is>
          <t>C4</t>
        </is>
      </c>
      <c r="J19" s="29" t="n">
        <v>0</v>
      </c>
      <c r="K19" s="29" t="n">
        <v>35.45</v>
      </c>
      <c r="L19" s="30" t="n">
        <v>1</v>
      </c>
      <c r="M19" s="25">
        <f>(J19+K19)*L19</f>
        <v/>
      </c>
      <c r="N19" s="25" t="n"/>
      <c r="O19" s="25">
        <f>35.45*L19</f>
        <v/>
      </c>
      <c r="P19" s="25" t="n"/>
      <c r="Q19" s="25" t="n"/>
      <c r="R19" s="25" t="n"/>
      <c r="S19" s="28" t="n">
        <v>200</v>
      </c>
    </row>
    <row r="20">
      <c r="A20" s="28" t="n">
        <v>19</v>
      </c>
      <c r="B20" s="28" t="inlineStr">
        <is>
          <t>Base</t>
        </is>
      </c>
      <c r="C20" s="28" t="inlineStr">
        <is>
          <t>1º Subsolo</t>
        </is>
      </c>
      <c r="D20" s="28" t="inlineStr">
        <is>
          <t>B</t>
        </is>
      </c>
      <c r="E20" s="28" t="n">
        <v>106</v>
      </c>
      <c r="F20" s="28" t="inlineStr">
        <is>
          <t>3.6.6</t>
        </is>
      </c>
      <c r="G20" s="28" t="inlineStr">
        <is>
          <t>Floreiras</t>
        </is>
      </c>
      <c r="H20" s="28" t="inlineStr">
        <is>
          <t>8</t>
        </is>
      </c>
      <c r="I20" s="28" t="inlineStr">
        <is>
          <t>JP30AR05</t>
        </is>
      </c>
      <c r="J20" s="29" t="n">
        <v>19.2</v>
      </c>
      <c r="K20" s="29" t="n">
        <v>85.40000000000001</v>
      </c>
      <c r="L20" s="30" t="n">
        <v>1</v>
      </c>
      <c r="M20" s="25">
        <f>(J20+K20)*L20</f>
        <v/>
      </c>
      <c r="N20" s="25">
        <f>104.6*L20</f>
        <v/>
      </c>
      <c r="O20" s="25">
        <f>104.6*L20</f>
        <v/>
      </c>
      <c r="P20" s="25" t="n"/>
      <c r="Q20" s="25" t="n"/>
      <c r="R20" s="25">
        <f>19.2*L20</f>
        <v/>
      </c>
      <c r="S20" s="28" t="n">
        <v>209</v>
      </c>
    </row>
    <row r="21">
      <c r="A21" s="28" t="n">
        <v>20</v>
      </c>
      <c r="B21" s="28" t="inlineStr">
        <is>
          <t>Base</t>
        </is>
      </c>
      <c r="C21" s="28" t="inlineStr">
        <is>
          <t>1º Subsolo</t>
        </is>
      </c>
      <c r="D21" s="28" t="inlineStr">
        <is>
          <t>C</t>
        </is>
      </c>
      <c r="E21" s="28" t="n">
        <v>107</v>
      </c>
      <c r="F21" s="28" t="inlineStr">
        <is>
          <t>3.7.1</t>
        </is>
      </c>
      <c r="G21" s="28" t="inlineStr">
        <is>
          <t>Banho 01</t>
        </is>
      </c>
      <c r="H21" s="28" t="inlineStr">
        <is>
          <t>1</t>
        </is>
      </c>
      <c r="I21" s="28" t="inlineStr">
        <is>
          <t>I20EL</t>
        </is>
      </c>
      <c r="J21" s="29" t="n">
        <v>3.66</v>
      </c>
      <c r="K21" s="29" t="n">
        <v>8.140000000000001</v>
      </c>
      <c r="L21" s="30" t="n">
        <v>4</v>
      </c>
      <c r="M21" s="25">
        <f>(J21+K21)*L21</f>
        <v/>
      </c>
      <c r="N21" s="25">
        <f>11.8*L21</f>
        <v/>
      </c>
      <c r="O21" s="25" t="n"/>
      <c r="P21" s="25" t="n"/>
      <c r="Q21" s="25" t="n"/>
      <c r="R21" s="25" t="n"/>
      <c r="S21" s="28" t="n">
        <v>235</v>
      </c>
    </row>
    <row r="22">
      <c r="A22" s="28" t="n">
        <v>21</v>
      </c>
      <c r="B22" s="28" t="inlineStr">
        <is>
          <t>Base</t>
        </is>
      </c>
      <c r="C22" s="28" t="inlineStr">
        <is>
          <t>1º Subsolo</t>
        </is>
      </c>
      <c r="D22" s="28" t="inlineStr">
        <is>
          <t>C</t>
        </is>
      </c>
      <c r="E22" s="28" t="n">
        <v>107</v>
      </c>
      <c r="F22" s="28" t="inlineStr">
        <is>
          <t>3.7.1</t>
        </is>
      </c>
      <c r="G22" s="28" t="inlineStr">
        <is>
          <t>Banho 02</t>
        </is>
      </c>
      <c r="H22" s="28" t="inlineStr">
        <is>
          <t>2</t>
        </is>
      </c>
      <c r="I22" s="28" t="inlineStr">
        <is>
          <t>I20EL</t>
        </is>
      </c>
      <c r="J22" s="29" t="n">
        <v>3.61</v>
      </c>
      <c r="K22" s="29" t="n">
        <v>8.130000000000001</v>
      </c>
      <c r="L22" s="30" t="n">
        <v>4</v>
      </c>
      <c r="M22" s="25">
        <f>(J22+K22)*L22</f>
        <v/>
      </c>
      <c r="N22" s="25">
        <f>11.74*L22</f>
        <v/>
      </c>
      <c r="O22" s="25" t="n"/>
      <c r="P22" s="25" t="n"/>
      <c r="Q22" s="25" t="n"/>
      <c r="R22" s="25" t="n"/>
      <c r="S22" s="28" t="n">
        <v>243</v>
      </c>
    </row>
    <row r="23">
      <c r="A23" s="28" t="n">
        <v>22</v>
      </c>
      <c r="B23" s="28" t="inlineStr">
        <is>
          <t>Base</t>
        </is>
      </c>
      <c r="C23" s="28" t="inlineStr">
        <is>
          <t>1º Subsolo</t>
        </is>
      </c>
      <c r="D23" s="28" t="inlineStr">
        <is>
          <t>C</t>
        </is>
      </c>
      <c r="E23" s="28" t="n">
        <v>107</v>
      </c>
      <c r="F23" s="28" t="inlineStr">
        <is>
          <t>3.7.1</t>
        </is>
      </c>
      <c r="G23" s="28" t="inlineStr">
        <is>
          <t>Banho Master Elevado</t>
        </is>
      </c>
      <c r="H23" s="28" t="inlineStr">
        <is>
          <t>3</t>
        </is>
      </c>
      <c r="I23" s="28" t="inlineStr">
        <is>
          <t>I20EL</t>
        </is>
      </c>
      <c r="J23" s="29" t="n">
        <v>6.51</v>
      </c>
      <c r="K23" s="29" t="n">
        <v>7.37</v>
      </c>
      <c r="L23" s="30" t="n">
        <v>3</v>
      </c>
      <c r="M23" s="25">
        <f>(J23+K23)*L23</f>
        <v/>
      </c>
      <c r="N23" s="25">
        <f>13.88*L23</f>
        <v/>
      </c>
      <c r="O23" s="25" t="n"/>
      <c r="P23" s="25" t="n"/>
      <c r="Q23" s="25" t="n"/>
      <c r="R23" s="25" t="n"/>
      <c r="S23" s="28" t="n">
        <v>251</v>
      </c>
    </row>
    <row r="24">
      <c r="A24" s="28" t="n">
        <v>23</v>
      </c>
      <c r="B24" s="28" t="inlineStr">
        <is>
          <t>Base</t>
        </is>
      </c>
      <c r="C24" s="28" t="inlineStr">
        <is>
          <t>1º Subsolo</t>
        </is>
      </c>
      <c r="D24" s="28" t="inlineStr">
        <is>
          <t>C</t>
        </is>
      </c>
      <c r="E24" s="28" t="n">
        <v>107</v>
      </c>
      <c r="F24" s="28" t="inlineStr">
        <is>
          <t>3.7.2</t>
        </is>
      </c>
      <c r="G24" s="28" t="inlineStr">
        <is>
          <t>Banho Master Semi-Elevado</t>
        </is>
      </c>
      <c r="H24" s="28" t="inlineStr">
        <is>
          <t>4</t>
        </is>
      </c>
      <c r="I24" s="28" t="inlineStr">
        <is>
          <t>C3I20EL</t>
        </is>
      </c>
      <c r="J24" s="29" t="n">
        <v>6.51</v>
      </c>
      <c r="K24" s="29" t="n">
        <v>7.37</v>
      </c>
      <c r="L24" s="30" t="n">
        <v>1</v>
      </c>
      <c r="M24" s="25">
        <f>(J24+K24)*L24</f>
        <v/>
      </c>
      <c r="N24" s="25">
        <f>13.88*L24</f>
        <v/>
      </c>
      <c r="O24" s="25" t="n"/>
      <c r="P24" s="25" t="n"/>
      <c r="Q24" s="25" t="n"/>
      <c r="R24" s="25" t="n"/>
      <c r="S24" s="28" t="n">
        <v>260</v>
      </c>
    </row>
    <row r="25">
      <c r="A25" s="28" t="n">
        <v>24</v>
      </c>
      <c r="B25" s="28" t="inlineStr">
        <is>
          <t>Base</t>
        </is>
      </c>
      <c r="C25" s="28" t="inlineStr">
        <is>
          <t>1º Subsolo</t>
        </is>
      </c>
      <c r="D25" s="28" t="inlineStr">
        <is>
          <t>C</t>
        </is>
      </c>
      <c r="E25" s="28" t="n">
        <v>107</v>
      </c>
      <c r="F25" s="28" t="inlineStr">
        <is>
          <t>3.7.3</t>
        </is>
      </c>
      <c r="G25" s="28" t="inlineStr">
        <is>
          <t>Terraço</t>
        </is>
      </c>
      <c r="H25" s="28" t="inlineStr">
        <is>
          <t>5</t>
        </is>
      </c>
      <c r="I25" s="28" t="inlineStr">
        <is>
          <t>C3</t>
        </is>
      </c>
      <c r="J25" s="29" t="n">
        <v>18.4</v>
      </c>
      <c r="K25" s="29" t="n">
        <v>5.12</v>
      </c>
      <c r="L25" s="30" t="n">
        <v>4</v>
      </c>
      <c r="M25" s="25">
        <f>(J25+K25)*L25</f>
        <v/>
      </c>
      <c r="N25" s="25">
        <f>23.52*L25</f>
        <v/>
      </c>
      <c r="O25" s="25" t="n"/>
      <c r="P25" s="25" t="n"/>
      <c r="Q25" s="25" t="n"/>
      <c r="R25" s="25" t="n"/>
      <c r="S25" s="28" t="n">
        <v>271</v>
      </c>
    </row>
    <row r="26">
      <c r="A26" s="28" t="n">
        <v>25</v>
      </c>
      <c r="B26" s="28" t="inlineStr">
        <is>
          <t>Base</t>
        </is>
      </c>
      <c r="C26" s="28" t="inlineStr">
        <is>
          <t>1º Subsolo</t>
        </is>
      </c>
      <c r="D26" s="28" t="inlineStr">
        <is>
          <t>C</t>
        </is>
      </c>
      <c r="E26" s="28" t="n">
        <v>107</v>
      </c>
      <c r="F26" s="28" t="inlineStr">
        <is>
          <t>3.7.4</t>
        </is>
      </c>
      <c r="G26" s="28" t="inlineStr">
        <is>
          <t>Caixão Perdido</t>
        </is>
      </c>
      <c r="H26" s="28" t="inlineStr">
        <is>
          <t>6</t>
        </is>
      </c>
      <c r="I26" s="28" t="inlineStr">
        <is>
          <t>C3</t>
        </is>
      </c>
      <c r="J26" s="29" t="n">
        <v>2.95</v>
      </c>
      <c r="K26" s="29" t="n">
        <v>10.46</v>
      </c>
      <c r="L26" s="30" t="n">
        <v>4</v>
      </c>
      <c r="M26" s="25">
        <f>(J26+K26)*L26</f>
        <v/>
      </c>
      <c r="N26" s="25">
        <f>13.41*L26</f>
        <v/>
      </c>
      <c r="O26" s="25">
        <f>13.41*L26</f>
        <v/>
      </c>
      <c r="P26" s="25" t="n"/>
      <c r="Q26" s="25" t="n"/>
      <c r="R26" s="25" t="n"/>
      <c r="S26" s="28" t="n">
        <v>279</v>
      </c>
    </row>
    <row r="27">
      <c r="A27" s="28" t="n">
        <v>26</v>
      </c>
      <c r="B27" s="28" t="inlineStr">
        <is>
          <t>Base</t>
        </is>
      </c>
      <c r="C27" s="28" t="inlineStr">
        <is>
          <t>1º Subsolo</t>
        </is>
      </c>
      <c r="D27" s="28" t="inlineStr">
        <is>
          <t>C</t>
        </is>
      </c>
      <c r="E27" s="28" t="n">
        <v>107</v>
      </c>
      <c r="F27" s="28" t="inlineStr">
        <is>
          <t>3.7.5</t>
        </is>
      </c>
      <c r="G27" s="28" t="inlineStr">
        <is>
          <t>Barrado</t>
        </is>
      </c>
      <c r="H27" s="28" t="inlineStr">
        <is>
          <t>7</t>
        </is>
      </c>
      <c r="I27" s="28" t="inlineStr">
        <is>
          <t>C4</t>
        </is>
      </c>
      <c r="J27" s="29" t="n">
        <v>0</v>
      </c>
      <c r="K27" s="29" t="n">
        <v>31.28</v>
      </c>
      <c r="L27" s="30" t="n">
        <v>1</v>
      </c>
      <c r="M27" s="25">
        <f>(J27+K27)*L27</f>
        <v/>
      </c>
      <c r="N27" s="25" t="n"/>
      <c r="O27" s="25">
        <f>31.28*L27</f>
        <v/>
      </c>
      <c r="P27" s="25" t="n"/>
      <c r="Q27" s="25" t="n"/>
      <c r="R27" s="25" t="n"/>
      <c r="S27" s="28" t="n">
        <v>290</v>
      </c>
    </row>
    <row r="28">
      <c r="A28" s="28" t="n">
        <v>27</v>
      </c>
      <c r="B28" s="28" t="inlineStr">
        <is>
          <t>Base</t>
        </is>
      </c>
      <c r="C28" s="28" t="inlineStr">
        <is>
          <t>1º Subsolo</t>
        </is>
      </c>
      <c r="D28" s="28" t="inlineStr">
        <is>
          <t>C</t>
        </is>
      </c>
      <c r="E28" s="28" t="n">
        <v>107</v>
      </c>
      <c r="F28" s="28" t="inlineStr">
        <is>
          <t>3.7.6</t>
        </is>
      </c>
      <c r="G28" s="28" t="inlineStr">
        <is>
          <t>Floreiras</t>
        </is>
      </c>
      <c r="H28" s="28" t="inlineStr">
        <is>
          <t>8</t>
        </is>
      </c>
      <c r="I28" s="28" t="inlineStr">
        <is>
          <t>JP30AR05</t>
        </is>
      </c>
      <c r="J28" s="29" t="n">
        <v>19.2</v>
      </c>
      <c r="K28" s="29" t="n">
        <v>85.40000000000001</v>
      </c>
      <c r="L28" s="30" t="n">
        <v>1</v>
      </c>
      <c r="M28" s="25">
        <f>(J28+K28)*L28</f>
        <v/>
      </c>
      <c r="N28" s="25">
        <f>104.6*L28</f>
        <v/>
      </c>
      <c r="O28" s="25">
        <f>104.6*L28</f>
        <v/>
      </c>
      <c r="P28" s="25" t="n"/>
      <c r="Q28" s="25" t="n"/>
      <c r="R28" s="25">
        <f>19.2*L28</f>
        <v/>
      </c>
      <c r="S28" s="28" t="n">
        <v>299</v>
      </c>
    </row>
    <row r="29">
      <c r="A29" s="28" t="n">
        <v>28</v>
      </c>
      <c r="B29" s="28" t="inlineStr">
        <is>
          <t>Base</t>
        </is>
      </c>
      <c r="C29" s="28" t="inlineStr">
        <is>
          <t>Térreo</t>
        </is>
      </c>
      <c r="D29" s="28" t="inlineStr">
        <is>
          <t>A</t>
        </is>
      </c>
      <c r="E29" s="28" t="n">
        <v>108</v>
      </c>
      <c r="F29" s="28" t="inlineStr">
        <is>
          <t>3.8.1</t>
        </is>
      </c>
      <c r="G29" s="28" t="inlineStr">
        <is>
          <t>Banho 01</t>
        </is>
      </c>
      <c r="H29" s="28" t="inlineStr">
        <is>
          <t>1</t>
        </is>
      </c>
      <c r="I29" s="28" t="inlineStr">
        <is>
          <t>I20EL</t>
        </is>
      </c>
      <c r="J29" s="29" t="n">
        <v>3.66</v>
      </c>
      <c r="K29" s="29" t="n">
        <v>8.140000000000001</v>
      </c>
      <c r="L29" s="30" t="n">
        <v>5</v>
      </c>
      <c r="M29" s="25">
        <f>(J29+K29)*L29</f>
        <v/>
      </c>
      <c r="N29" s="25">
        <f>11.8*L29</f>
        <v/>
      </c>
      <c r="O29" s="25" t="n"/>
      <c r="P29" s="25" t="n"/>
      <c r="Q29" s="25" t="n"/>
      <c r="R29" s="25" t="n"/>
      <c r="S29" s="28" t="n">
        <v>325</v>
      </c>
    </row>
    <row r="30">
      <c r="A30" s="28" t="n">
        <v>29</v>
      </c>
      <c r="B30" s="28" t="inlineStr">
        <is>
          <t>Base</t>
        </is>
      </c>
      <c r="C30" s="28" t="inlineStr">
        <is>
          <t>Térreo</t>
        </is>
      </c>
      <c r="D30" s="28" t="inlineStr">
        <is>
          <t>A</t>
        </is>
      </c>
      <c r="E30" s="28" t="n">
        <v>108</v>
      </c>
      <c r="F30" s="28" t="inlineStr">
        <is>
          <t>3.8.1</t>
        </is>
      </c>
      <c r="G30" s="28" t="inlineStr">
        <is>
          <t>Banho 02</t>
        </is>
      </c>
      <c r="H30" s="28" t="inlineStr">
        <is>
          <t>2</t>
        </is>
      </c>
      <c r="I30" s="28" t="inlineStr">
        <is>
          <t>I20EL</t>
        </is>
      </c>
      <c r="J30" s="29" t="n">
        <v>3.61</v>
      </c>
      <c r="K30" s="29" t="n">
        <v>8.130000000000001</v>
      </c>
      <c r="L30" s="30" t="n">
        <v>5</v>
      </c>
      <c r="M30" s="25">
        <f>(J30+K30)*L30</f>
        <v/>
      </c>
      <c r="N30" s="25">
        <f>11.74*L30</f>
        <v/>
      </c>
      <c r="O30" s="25" t="n"/>
      <c r="P30" s="25" t="n"/>
      <c r="Q30" s="25" t="n"/>
      <c r="R30" s="25" t="n"/>
      <c r="S30" s="28" t="n">
        <v>333</v>
      </c>
    </row>
    <row r="31">
      <c r="A31" s="28" t="n">
        <v>30</v>
      </c>
      <c r="B31" s="28" t="inlineStr">
        <is>
          <t>Base</t>
        </is>
      </c>
      <c r="C31" s="28" t="inlineStr">
        <is>
          <t>Térreo</t>
        </is>
      </c>
      <c r="D31" s="28" t="inlineStr">
        <is>
          <t>A</t>
        </is>
      </c>
      <c r="E31" s="28" t="n">
        <v>108</v>
      </c>
      <c r="F31" s="28" t="inlineStr">
        <is>
          <t>3.8.1</t>
        </is>
      </c>
      <c r="G31" s="28" t="inlineStr">
        <is>
          <t>Banho Master</t>
        </is>
      </c>
      <c r="H31" s="28" t="inlineStr">
        <is>
          <t>3</t>
        </is>
      </c>
      <c r="I31" s="28" t="inlineStr">
        <is>
          <t>I20EL</t>
        </is>
      </c>
      <c r="J31" s="29" t="n">
        <v>6.51</v>
      </c>
      <c r="K31" s="29" t="n">
        <v>7.37</v>
      </c>
      <c r="L31" s="30" t="n">
        <v>5</v>
      </c>
      <c r="M31" s="25">
        <f>(J31+K31)*L31</f>
        <v/>
      </c>
      <c r="N31" s="25">
        <f>13.88*L31</f>
        <v/>
      </c>
      <c r="O31" s="25" t="n"/>
      <c r="P31" s="25" t="n"/>
      <c r="Q31" s="25" t="n"/>
      <c r="R31" s="25" t="n"/>
      <c r="S31" s="28" t="n">
        <v>341</v>
      </c>
    </row>
    <row r="32">
      <c r="A32" s="28" t="n">
        <v>31</v>
      </c>
      <c r="B32" s="28" t="inlineStr">
        <is>
          <t>Base</t>
        </is>
      </c>
      <c r="C32" s="28" t="inlineStr">
        <is>
          <t>Térreo</t>
        </is>
      </c>
      <c r="D32" s="28" t="inlineStr">
        <is>
          <t>A</t>
        </is>
      </c>
      <c r="E32" s="28" t="n">
        <v>108</v>
      </c>
      <c r="F32" s="28" t="inlineStr">
        <is>
          <t>3.8.1</t>
        </is>
      </c>
      <c r="G32" s="28" t="inlineStr">
        <is>
          <t>Banho Serviço</t>
        </is>
      </c>
      <c r="H32" s="28" t="inlineStr">
        <is>
          <t>4</t>
        </is>
      </c>
      <c r="I32" s="28" t="inlineStr">
        <is>
          <t>I20EL</t>
        </is>
      </c>
      <c r="J32" s="29" t="n">
        <v>2.59</v>
      </c>
      <c r="K32" s="29" t="n">
        <v>5.08</v>
      </c>
      <c r="L32" s="30" t="n">
        <v>5</v>
      </c>
      <c r="M32" s="25">
        <f>(J32+K32)*L32</f>
        <v/>
      </c>
      <c r="N32" s="25">
        <f>7.67*L32</f>
        <v/>
      </c>
      <c r="O32" s="25" t="n"/>
      <c r="P32" s="25" t="n"/>
      <c r="Q32" s="25" t="n"/>
      <c r="R32" s="25" t="n"/>
      <c r="S32" s="28" t="n">
        <v>349</v>
      </c>
    </row>
    <row r="33">
      <c r="A33" s="28" t="n">
        <v>32</v>
      </c>
      <c r="B33" s="28" t="inlineStr">
        <is>
          <t>Base</t>
        </is>
      </c>
      <c r="C33" s="28" t="inlineStr">
        <is>
          <t>Térreo</t>
        </is>
      </c>
      <c r="D33" s="28" t="inlineStr">
        <is>
          <t>A</t>
        </is>
      </c>
      <c r="E33" s="28" t="n">
        <v>108</v>
      </c>
      <c r="F33" s="28" t="inlineStr">
        <is>
          <t>3.8.1</t>
        </is>
      </c>
      <c r="G33" s="28" t="inlineStr">
        <is>
          <t>Lavabo</t>
        </is>
      </c>
      <c r="H33" s="28" t="inlineStr">
        <is>
          <t>5</t>
        </is>
      </c>
      <c r="I33" s="28" t="inlineStr">
        <is>
          <t>I20EL</t>
        </is>
      </c>
      <c r="J33" s="29" t="n">
        <v>2.7</v>
      </c>
      <c r="K33" s="29" t="n">
        <v>1.84</v>
      </c>
      <c r="L33" s="30" t="n">
        <v>5</v>
      </c>
      <c r="M33" s="25">
        <f>(J33+K33)*L33</f>
        <v/>
      </c>
      <c r="N33" s="25">
        <f>4.54*L33</f>
        <v/>
      </c>
      <c r="O33" s="25" t="n"/>
      <c r="P33" s="25" t="n"/>
      <c r="Q33" s="25" t="n"/>
      <c r="R33" s="25" t="n"/>
      <c r="S33" s="28" t="n">
        <v>357</v>
      </c>
    </row>
    <row r="34">
      <c r="A34" s="28" t="n">
        <v>33</v>
      </c>
      <c r="B34" s="28" t="inlineStr">
        <is>
          <t>Base</t>
        </is>
      </c>
      <c r="C34" s="28" t="inlineStr">
        <is>
          <t>Térreo</t>
        </is>
      </c>
      <c r="D34" s="28" t="inlineStr">
        <is>
          <t>A</t>
        </is>
      </c>
      <c r="E34" s="28" t="n">
        <v>108</v>
      </c>
      <c r="F34" s="28" t="inlineStr">
        <is>
          <t>3.8.1</t>
        </is>
      </c>
      <c r="G34" s="28" t="inlineStr">
        <is>
          <t>Área de Serviço</t>
        </is>
      </c>
      <c r="H34" s="28" t="inlineStr">
        <is>
          <t>6</t>
        </is>
      </c>
      <c r="I34" s="28" t="inlineStr">
        <is>
          <t>I20EL</t>
        </is>
      </c>
      <c r="J34" s="29" t="n">
        <v>3.92</v>
      </c>
      <c r="K34" s="29" t="n">
        <v>2.72</v>
      </c>
      <c r="L34" s="30" t="n">
        <v>5</v>
      </c>
      <c r="M34" s="25">
        <f>(J34+K34)*L34</f>
        <v/>
      </c>
      <c r="N34" s="25">
        <f>6.64*L34</f>
        <v/>
      </c>
      <c r="O34" s="25" t="n"/>
      <c r="P34" s="25" t="n"/>
      <c r="Q34" s="25" t="n"/>
      <c r="R34" s="25" t="n"/>
      <c r="S34" s="28" t="n">
        <v>365</v>
      </c>
    </row>
    <row r="35">
      <c r="A35" s="28" t="n">
        <v>34</v>
      </c>
      <c r="B35" s="28" t="inlineStr">
        <is>
          <t>Base</t>
        </is>
      </c>
      <c r="C35" s="28" t="inlineStr">
        <is>
          <t>Térreo</t>
        </is>
      </c>
      <c r="D35" s="28" t="inlineStr">
        <is>
          <t>A</t>
        </is>
      </c>
      <c r="E35" s="28" t="n">
        <v>108</v>
      </c>
      <c r="F35" s="28" t="inlineStr">
        <is>
          <t>3.8.1</t>
        </is>
      </c>
      <c r="G35" s="28" t="inlineStr">
        <is>
          <t>Lixo</t>
        </is>
      </c>
      <c r="H35" s="28" t="inlineStr">
        <is>
          <t>7</t>
        </is>
      </c>
      <c r="I35" s="28" t="inlineStr">
        <is>
          <t>I20EL</t>
        </is>
      </c>
      <c r="J35" s="29" t="n">
        <v>0.78</v>
      </c>
      <c r="K35" s="29" t="n">
        <v>12.32</v>
      </c>
      <c r="L35" s="30" t="n">
        <v>1</v>
      </c>
      <c r="M35" s="25">
        <f>(J35+K35)*L35</f>
        <v/>
      </c>
      <c r="N35" s="25">
        <f>13.1*L35</f>
        <v/>
      </c>
      <c r="O35" s="25" t="n"/>
      <c r="P35" s="25" t="n"/>
      <c r="Q35" s="25" t="n"/>
      <c r="R35" s="25" t="n"/>
      <c r="S35" s="28" t="n">
        <v>373</v>
      </c>
    </row>
    <row r="36">
      <c r="A36" s="28" t="n">
        <v>35</v>
      </c>
      <c r="B36" s="28" t="inlineStr">
        <is>
          <t>Base</t>
        </is>
      </c>
      <c r="C36" s="28" t="inlineStr">
        <is>
          <t>Térreo</t>
        </is>
      </c>
      <c r="D36" s="28" t="inlineStr">
        <is>
          <t>A</t>
        </is>
      </c>
      <c r="E36" s="28" t="n">
        <v>108</v>
      </c>
      <c r="F36" s="28" t="inlineStr">
        <is>
          <t>3.8.1</t>
        </is>
      </c>
      <c r="G36" s="28" t="inlineStr">
        <is>
          <t>Comp. Lixo</t>
        </is>
      </c>
      <c r="H36" s="28" t="inlineStr">
        <is>
          <t>8</t>
        </is>
      </c>
      <c r="I36" s="28" t="inlineStr">
        <is>
          <t>I20EL</t>
        </is>
      </c>
      <c r="J36" s="29" t="n">
        <v>1.09</v>
      </c>
      <c r="K36" s="29" t="n">
        <v>13.66</v>
      </c>
      <c r="L36" s="30" t="n">
        <v>2</v>
      </c>
      <c r="M36" s="25">
        <f>(J36+K36)*L36</f>
        <v/>
      </c>
      <c r="N36" s="25">
        <f>14.75*L36</f>
        <v/>
      </c>
      <c r="O36" s="25" t="n"/>
      <c r="P36" s="25" t="n"/>
      <c r="Q36" s="25" t="n"/>
      <c r="R36" s="25" t="n"/>
      <c r="S36" s="28" t="n">
        <v>381</v>
      </c>
    </row>
    <row r="37">
      <c r="A37" s="28" t="n">
        <v>36</v>
      </c>
      <c r="B37" s="28" t="inlineStr">
        <is>
          <t>Base</t>
        </is>
      </c>
      <c r="C37" s="28" t="inlineStr">
        <is>
          <t>Térreo</t>
        </is>
      </c>
      <c r="D37" s="28" t="inlineStr">
        <is>
          <t>A</t>
        </is>
      </c>
      <c r="E37" s="28" t="n">
        <v>108</v>
      </c>
      <c r="F37" s="28" t="inlineStr">
        <is>
          <t>3.8.1</t>
        </is>
      </c>
      <c r="G37" s="28" t="inlineStr">
        <is>
          <t>Tubulação Emergente</t>
        </is>
      </c>
      <c r="H37" s="28" t="inlineStr">
        <is>
          <t>9</t>
        </is>
      </c>
      <c r="I37" s="28" t="inlineStr">
        <is>
          <t>I20EL</t>
        </is>
      </c>
      <c r="J37" s="29" t="n">
        <v>0.16</v>
      </c>
      <c r="K37" s="29" t="n">
        <v>0.08</v>
      </c>
      <c r="L37" s="30" t="n">
        <v>5</v>
      </c>
      <c r="M37" s="25">
        <f>(J37+K37)*L37</f>
        <v/>
      </c>
      <c r="N37" s="25">
        <f>0.24*L37</f>
        <v/>
      </c>
      <c r="O37" s="25" t="n"/>
      <c r="P37" s="25" t="n"/>
      <c r="Q37" s="25" t="n"/>
      <c r="R37" s="25" t="n"/>
      <c r="S37" s="28" t="n">
        <v>389</v>
      </c>
    </row>
    <row r="38">
      <c r="A38" s="28" t="n">
        <v>37</v>
      </c>
      <c r="B38" s="28" t="inlineStr">
        <is>
          <t>Base</t>
        </is>
      </c>
      <c r="C38" s="28" t="inlineStr">
        <is>
          <t>Térreo</t>
        </is>
      </c>
      <c r="D38" s="28" t="inlineStr">
        <is>
          <t>A</t>
        </is>
      </c>
      <c r="E38" s="28" t="n">
        <v>108</v>
      </c>
      <c r="F38" s="28" t="inlineStr">
        <is>
          <t>3.8.1</t>
        </is>
      </c>
      <c r="G38" s="28" t="inlineStr">
        <is>
          <t>W.C. Portaria</t>
        </is>
      </c>
      <c r="H38" s="28" t="inlineStr">
        <is>
          <t>10</t>
        </is>
      </c>
      <c r="I38" s="28" t="inlineStr">
        <is>
          <t>I20EL</t>
        </is>
      </c>
      <c r="J38" s="29" t="n">
        <v>4.72</v>
      </c>
      <c r="K38" s="29" t="n">
        <v>2.49</v>
      </c>
      <c r="L38" s="30" t="n">
        <v>1</v>
      </c>
      <c r="M38" s="25">
        <f>(J38+K38)*L38</f>
        <v/>
      </c>
      <c r="N38" s="25">
        <f>7.21*L38</f>
        <v/>
      </c>
      <c r="O38" s="25" t="n"/>
      <c r="P38" s="25" t="n"/>
      <c r="Q38" s="25" t="n"/>
      <c r="R38" s="25" t="n"/>
      <c r="S38" s="28" t="n">
        <v>397</v>
      </c>
    </row>
    <row r="39">
      <c r="A39" s="28" t="n">
        <v>38</v>
      </c>
      <c r="B39" s="28" t="inlineStr">
        <is>
          <t>Base</t>
        </is>
      </c>
      <c r="C39" s="28" t="inlineStr">
        <is>
          <t>Térreo</t>
        </is>
      </c>
      <c r="D39" s="28" t="inlineStr">
        <is>
          <t>A</t>
        </is>
      </c>
      <c r="E39" s="28" t="n">
        <v>108</v>
      </c>
      <c r="F39" s="28" t="inlineStr">
        <is>
          <t>3.8.2</t>
        </is>
      </c>
      <c r="G39" s="28" t="inlineStr">
        <is>
          <t>Shaft</t>
        </is>
      </c>
      <c r="H39" s="28" t="inlineStr">
        <is>
          <t>11</t>
        </is>
      </c>
      <c r="I39" s="28" t="inlineStr">
        <is>
          <t>I20EL</t>
        </is>
      </c>
      <c r="J39" s="29" t="n">
        <v>0.51</v>
      </c>
      <c r="K39" s="29" t="n">
        <v>0.65</v>
      </c>
      <c r="L39" s="30" t="n">
        <v>5</v>
      </c>
      <c r="M39" s="25">
        <f>(J39+K39)*L39</f>
        <v/>
      </c>
      <c r="N39" s="25">
        <f>1.16*L39</f>
        <v/>
      </c>
      <c r="O39" s="25">
        <f>1.16*L39</f>
        <v/>
      </c>
      <c r="P39" s="25" t="n"/>
      <c r="Q39" s="25" t="n"/>
      <c r="R39" s="25" t="n"/>
      <c r="S39" s="28" t="n">
        <v>405</v>
      </c>
    </row>
    <row r="40">
      <c r="A40" s="28" t="n">
        <v>39</v>
      </c>
      <c r="B40" s="28" t="inlineStr">
        <is>
          <t>Base</t>
        </is>
      </c>
      <c r="C40" s="28" t="inlineStr">
        <is>
          <t>Térreo</t>
        </is>
      </c>
      <c r="D40" s="28" t="inlineStr">
        <is>
          <t>A</t>
        </is>
      </c>
      <c r="E40" s="28" t="n">
        <v>108</v>
      </c>
      <c r="F40" s="28" t="inlineStr">
        <is>
          <t>3.8.3</t>
        </is>
      </c>
      <c r="G40" s="28" t="inlineStr">
        <is>
          <t>Caixas de Pluvial / Esgoto</t>
        </is>
      </c>
      <c r="H40" s="28" t="inlineStr">
        <is>
          <t>12</t>
        </is>
      </c>
      <c r="I40" s="28" t="inlineStr">
        <is>
          <t>C4RQD3T</t>
        </is>
      </c>
      <c r="J40" s="29" t="n">
        <v>10.4</v>
      </c>
      <c r="K40" s="29" t="n">
        <v>54.3</v>
      </c>
      <c r="L40" s="30" t="n">
        <v>1</v>
      </c>
      <c r="M40" s="25">
        <f>(J40+K40)*L40</f>
        <v/>
      </c>
      <c r="N40" s="25">
        <f>64.7*L40</f>
        <v/>
      </c>
      <c r="O40" s="25">
        <f>64.7*L40</f>
        <v/>
      </c>
      <c r="P40" s="25" t="n"/>
      <c r="Q40" s="25" t="n"/>
      <c r="R40" s="25" t="n"/>
      <c r="S40" s="28" t="n">
        <v>416</v>
      </c>
    </row>
    <row r="41">
      <c r="A41" s="28" t="n">
        <v>40</v>
      </c>
      <c r="B41" s="28" t="inlineStr">
        <is>
          <t>Base</t>
        </is>
      </c>
      <c r="C41" s="28" t="inlineStr">
        <is>
          <t>Térreo</t>
        </is>
      </c>
      <c r="D41" s="28" t="inlineStr">
        <is>
          <t>A</t>
        </is>
      </c>
      <c r="E41" s="28" t="n">
        <v>108</v>
      </c>
      <c r="F41" s="28" t="inlineStr">
        <is>
          <t>3.8.4</t>
        </is>
      </c>
      <c r="G41" s="28" t="inlineStr">
        <is>
          <t>Terraço 01</t>
        </is>
      </c>
      <c r="H41" s="28" t="inlineStr">
        <is>
          <t>13</t>
        </is>
      </c>
      <c r="I41" s="28" t="inlineStr">
        <is>
          <t>I30EL</t>
        </is>
      </c>
      <c r="J41" s="29" t="n">
        <v>16.6</v>
      </c>
      <c r="K41" s="29" t="n">
        <v>3.55</v>
      </c>
      <c r="L41" s="30" t="n">
        <v>1</v>
      </c>
      <c r="M41" s="25">
        <f>(J41+K41)*L41</f>
        <v/>
      </c>
      <c r="N41" s="25">
        <f>20.15*L41</f>
        <v/>
      </c>
      <c r="O41" s="25" t="n"/>
      <c r="P41" s="25" t="n"/>
      <c r="Q41" s="25" t="n"/>
      <c r="R41" s="25" t="n"/>
      <c r="S41" s="28" t="n">
        <v>429</v>
      </c>
    </row>
    <row r="42">
      <c r="A42" s="28" t="n">
        <v>41</v>
      </c>
      <c r="B42" s="28" t="inlineStr">
        <is>
          <t>Base</t>
        </is>
      </c>
      <c r="C42" s="28" t="inlineStr">
        <is>
          <t>Térreo</t>
        </is>
      </c>
      <c r="D42" s="28" t="inlineStr">
        <is>
          <t>A</t>
        </is>
      </c>
      <c r="E42" s="28" t="n">
        <v>108</v>
      </c>
      <c r="F42" s="28" t="inlineStr">
        <is>
          <t>3.8.4</t>
        </is>
      </c>
      <c r="G42" s="28" t="inlineStr">
        <is>
          <t>Terraço 02</t>
        </is>
      </c>
      <c r="H42" s="28" t="inlineStr">
        <is>
          <t>14</t>
        </is>
      </c>
      <c r="I42" s="28" t="inlineStr">
        <is>
          <t>I30EL</t>
        </is>
      </c>
      <c r="J42" s="29" t="n">
        <v>16.42</v>
      </c>
      <c r="K42" s="29" t="n">
        <v>3.46</v>
      </c>
      <c r="L42" s="30" t="n">
        <v>3</v>
      </c>
      <c r="M42" s="25">
        <f>(J42+K42)*L42</f>
        <v/>
      </c>
      <c r="N42" s="25">
        <f>19.88*L42</f>
        <v/>
      </c>
      <c r="O42" s="25" t="n"/>
      <c r="P42" s="25" t="n"/>
      <c r="Q42" s="25" t="n"/>
      <c r="R42" s="25" t="n"/>
      <c r="S42" s="28" t="n">
        <v>437</v>
      </c>
    </row>
    <row r="43">
      <c r="A43" s="28" t="n">
        <v>42</v>
      </c>
      <c r="B43" s="28" t="inlineStr">
        <is>
          <t>Base</t>
        </is>
      </c>
      <c r="C43" s="28" t="inlineStr">
        <is>
          <t>Térreo</t>
        </is>
      </c>
      <c r="D43" s="28" t="inlineStr">
        <is>
          <t>A</t>
        </is>
      </c>
      <c r="E43" s="28" t="n">
        <v>108</v>
      </c>
      <c r="F43" s="28" t="inlineStr">
        <is>
          <t>3.8.4</t>
        </is>
      </c>
      <c r="G43" s="28" t="inlineStr">
        <is>
          <t>Terraço 03</t>
        </is>
      </c>
      <c r="H43" s="28" t="inlineStr">
        <is>
          <t>15</t>
        </is>
      </c>
      <c r="I43" s="28" t="inlineStr">
        <is>
          <t>I30EL</t>
        </is>
      </c>
      <c r="J43" s="29" t="n">
        <v>16.58</v>
      </c>
      <c r="K43" s="29" t="n">
        <v>3.55</v>
      </c>
      <c r="L43" s="30" t="n">
        <v>1</v>
      </c>
      <c r="M43" s="25">
        <f>(J43+K43)*L43</f>
        <v/>
      </c>
      <c r="N43" s="25">
        <f>20.13*L43</f>
        <v/>
      </c>
      <c r="O43" s="25" t="n"/>
      <c r="P43" s="25" t="n"/>
      <c r="Q43" s="25" t="n"/>
      <c r="R43" s="25" t="n"/>
      <c r="S43" s="28" t="n">
        <v>445</v>
      </c>
    </row>
    <row r="44">
      <c r="A44" s="28" t="n">
        <v>43</v>
      </c>
      <c r="B44" s="28" t="inlineStr">
        <is>
          <t>Base</t>
        </is>
      </c>
      <c r="C44" s="28" t="inlineStr">
        <is>
          <t>Térreo</t>
        </is>
      </c>
      <c r="D44" s="28" t="inlineStr">
        <is>
          <t>A</t>
        </is>
      </c>
      <c r="E44" s="28" t="n">
        <v>108</v>
      </c>
      <c r="F44" s="28" t="inlineStr">
        <is>
          <t>3.8.5</t>
        </is>
      </c>
      <c r="G44" s="28" t="inlineStr">
        <is>
          <t>Abas</t>
        </is>
      </c>
      <c r="H44" s="28" t="inlineStr">
        <is>
          <t>16</t>
        </is>
      </c>
      <c r="I44" s="28" t="inlineStr">
        <is>
          <t>I30EL</t>
        </is>
      </c>
      <c r="J44" s="29" t="n">
        <v>21.95</v>
      </c>
      <c r="K44" s="29" t="n">
        <v>40.88</v>
      </c>
      <c r="L44" s="30" t="n">
        <v>1</v>
      </c>
      <c r="M44" s="25">
        <f>(J44+K44)*L44</f>
        <v/>
      </c>
      <c r="N44" s="25">
        <f>62.83*L44</f>
        <v/>
      </c>
      <c r="O44" s="25">
        <f>62.83*L44</f>
        <v/>
      </c>
      <c r="P44" s="25" t="n"/>
      <c r="Q44" s="25" t="n"/>
      <c r="R44" s="25" t="n"/>
      <c r="S44" s="28" t="n">
        <v>453</v>
      </c>
    </row>
    <row r="45">
      <c r="A45" s="28" t="n">
        <v>44</v>
      </c>
      <c r="B45" s="28" t="inlineStr">
        <is>
          <t>Base</t>
        </is>
      </c>
      <c r="C45" s="28" t="inlineStr">
        <is>
          <t>Térreo</t>
        </is>
      </c>
      <c r="D45" s="28" t="inlineStr">
        <is>
          <t>A</t>
        </is>
      </c>
      <c r="E45" s="28" t="n">
        <v>108</v>
      </c>
      <c r="F45" s="28" t="inlineStr">
        <is>
          <t>3.8.6</t>
        </is>
      </c>
      <c r="G45" s="28" t="inlineStr">
        <is>
          <t>Rampa de Veículos</t>
        </is>
      </c>
      <c r="H45" s="28" t="inlineStr">
        <is>
          <t>17</t>
        </is>
      </c>
      <c r="I45" s="28" t="inlineStr">
        <is>
          <t>M44AC</t>
        </is>
      </c>
      <c r="J45" s="29" t="n">
        <v>39.73</v>
      </c>
      <c r="K45" s="29" t="n">
        <v>7.59</v>
      </c>
      <c r="L45" s="30" t="n">
        <v>1</v>
      </c>
      <c r="M45" s="25">
        <f>(J45+K45)*L45</f>
        <v/>
      </c>
      <c r="N45" s="25">
        <f>47.32*L45</f>
        <v/>
      </c>
      <c r="O45" s="25" t="n"/>
      <c r="P45" s="25" t="n"/>
      <c r="Q45" s="25">
        <f>39.73*L45</f>
        <v/>
      </c>
      <c r="R45" s="25" t="n"/>
      <c r="S45" s="28" t="n">
        <v>464</v>
      </c>
    </row>
    <row r="46">
      <c r="A46" s="28" t="n">
        <v>45</v>
      </c>
      <c r="B46" s="28" t="inlineStr">
        <is>
          <t>Base</t>
        </is>
      </c>
      <c r="C46" s="28" t="inlineStr">
        <is>
          <t>Térreo</t>
        </is>
      </c>
      <c r="D46" s="28" t="inlineStr">
        <is>
          <t>A</t>
        </is>
      </c>
      <c r="E46" s="28" t="n">
        <v>108</v>
      </c>
      <c r="F46" s="28" t="inlineStr">
        <is>
          <t>3.8.7</t>
        </is>
      </c>
      <c r="G46" s="28" t="inlineStr">
        <is>
          <t>Rampa de Pedestres</t>
        </is>
      </c>
      <c r="H46" s="28" t="inlineStr">
        <is>
          <t>18</t>
        </is>
      </c>
      <c r="I46" s="28" t="inlineStr">
        <is>
          <t>M44A</t>
        </is>
      </c>
      <c r="J46" s="29" t="n">
        <v>11.64</v>
      </c>
      <c r="K46" s="29" t="n">
        <v>4.38</v>
      </c>
      <c r="L46" s="30" t="n">
        <v>1</v>
      </c>
      <c r="M46" s="25">
        <f>(J46+K46)*L46</f>
        <v/>
      </c>
      <c r="N46" s="25">
        <f>16.02*L46</f>
        <v/>
      </c>
      <c r="O46" s="25">
        <f>11.64*L46</f>
        <v/>
      </c>
      <c r="P46" s="25">
        <f>4.38*L46</f>
        <v/>
      </c>
      <c r="Q46" s="25" t="n"/>
      <c r="R46" s="25" t="n"/>
      <c r="S46" s="28" t="n">
        <v>480</v>
      </c>
    </row>
    <row r="47">
      <c r="A47" s="28" t="n">
        <v>46</v>
      </c>
      <c r="B47" s="28" t="inlineStr">
        <is>
          <t>Base</t>
        </is>
      </c>
      <c r="C47" s="28" t="inlineStr">
        <is>
          <t>Térreo</t>
        </is>
      </c>
      <c r="D47" s="28" t="inlineStr">
        <is>
          <t>A</t>
        </is>
      </c>
      <c r="E47" s="28" t="n">
        <v>108</v>
      </c>
      <c r="F47" s="28" t="inlineStr">
        <is>
          <t>3.8.7</t>
        </is>
      </c>
      <c r="G47" s="28" t="inlineStr">
        <is>
          <t>Escada Privativa</t>
        </is>
      </c>
      <c r="H47" s="28" t="inlineStr">
        <is>
          <t>19</t>
        </is>
      </c>
      <c r="I47" s="28" t="inlineStr">
        <is>
          <t>M44A</t>
        </is>
      </c>
      <c r="J47" s="29" t="n">
        <v>2.36</v>
      </c>
      <c r="K47" s="29" t="n">
        <v>3.05</v>
      </c>
      <c r="L47" s="30" t="n">
        <v>5</v>
      </c>
      <c r="M47" s="25">
        <f>(J47+K47)*L47</f>
        <v/>
      </c>
      <c r="N47" s="25">
        <f>5.41*L47</f>
        <v/>
      </c>
      <c r="O47" s="25">
        <f>2.36*L47</f>
        <v/>
      </c>
      <c r="P47" s="25">
        <f>3.05*L47</f>
        <v/>
      </c>
      <c r="Q47" s="25" t="n"/>
      <c r="R47" s="25" t="n"/>
      <c r="S47" s="28" t="n">
        <v>494</v>
      </c>
    </row>
    <row r="48">
      <c r="A48" s="28" t="n">
        <v>47</v>
      </c>
      <c r="B48" s="28" t="inlineStr">
        <is>
          <t>Base</t>
        </is>
      </c>
      <c r="C48" s="28" t="inlineStr">
        <is>
          <t>Térreo</t>
        </is>
      </c>
      <c r="D48" s="28" t="inlineStr">
        <is>
          <t>A</t>
        </is>
      </c>
      <c r="E48" s="28" t="n">
        <v>108</v>
      </c>
      <c r="F48" s="28" t="inlineStr">
        <is>
          <t>3.8.7</t>
        </is>
      </c>
      <c r="G48" s="28" t="inlineStr">
        <is>
          <t>Acessos Privativos</t>
        </is>
      </c>
      <c r="H48" s="28" t="inlineStr">
        <is>
          <t>20</t>
        </is>
      </c>
      <c r="I48" s="28" t="inlineStr">
        <is>
          <t>M44A</t>
        </is>
      </c>
      <c r="J48" s="29" t="n">
        <v>19.23</v>
      </c>
      <c r="K48" s="29" t="n">
        <v>12.56</v>
      </c>
      <c r="L48" s="30" t="n">
        <v>1</v>
      </c>
      <c r="M48" s="25">
        <f>(J48+K48)*L48</f>
        <v/>
      </c>
      <c r="N48" s="25">
        <f>31.79*L48</f>
        <v/>
      </c>
      <c r="O48" s="25">
        <f>19.23*L48</f>
        <v/>
      </c>
      <c r="P48" s="25">
        <f>12.56*L48</f>
        <v/>
      </c>
      <c r="Q48" s="25" t="n"/>
      <c r="R48" s="25" t="n"/>
      <c r="S48" s="28" t="n">
        <v>508</v>
      </c>
    </row>
    <row r="49">
      <c r="A49" s="28" t="n">
        <v>48</v>
      </c>
      <c r="B49" s="28" t="inlineStr">
        <is>
          <t>Base</t>
        </is>
      </c>
      <c r="C49" s="28" t="inlineStr">
        <is>
          <t>Térreo</t>
        </is>
      </c>
      <c r="D49" s="28" t="inlineStr">
        <is>
          <t>A</t>
        </is>
      </c>
      <c r="E49" s="28" t="n">
        <v>108</v>
      </c>
      <c r="F49" s="28" t="inlineStr">
        <is>
          <t>3.8.7</t>
        </is>
      </c>
      <c r="G49" s="28" t="inlineStr">
        <is>
          <t>Clausura 01</t>
        </is>
      </c>
      <c r="H49" s="28" t="inlineStr">
        <is>
          <t>21</t>
        </is>
      </c>
      <c r="I49" s="28" t="inlineStr">
        <is>
          <t>M44A</t>
        </is>
      </c>
      <c r="J49" s="29" t="n">
        <v>13.91</v>
      </c>
      <c r="K49" s="29" t="n">
        <v>6.44</v>
      </c>
      <c r="L49" s="30" t="n">
        <v>1</v>
      </c>
      <c r="M49" s="25">
        <f>(J49+K49)*L49</f>
        <v/>
      </c>
      <c r="N49" s="25">
        <f>20.35*L49</f>
        <v/>
      </c>
      <c r="O49" s="25">
        <f>13.91*L49</f>
        <v/>
      </c>
      <c r="P49" s="25">
        <f>6.44*L49</f>
        <v/>
      </c>
      <c r="Q49" s="25" t="n"/>
      <c r="R49" s="25" t="n"/>
      <c r="S49" s="28" t="n">
        <v>522</v>
      </c>
    </row>
    <row r="50">
      <c r="A50" s="28" t="n">
        <v>49</v>
      </c>
      <c r="B50" s="28" t="inlineStr">
        <is>
          <t>Base</t>
        </is>
      </c>
      <c r="C50" s="28" t="inlineStr">
        <is>
          <t>Térreo</t>
        </is>
      </c>
      <c r="D50" s="28" t="inlineStr">
        <is>
          <t>A</t>
        </is>
      </c>
      <c r="E50" s="28" t="n">
        <v>108</v>
      </c>
      <c r="F50" s="28" t="inlineStr">
        <is>
          <t>3.8.7</t>
        </is>
      </c>
      <c r="G50" s="28" t="inlineStr">
        <is>
          <t>Clausura 02</t>
        </is>
      </c>
      <c r="H50" s="28" t="inlineStr">
        <is>
          <t>22</t>
        </is>
      </c>
      <c r="I50" s="28" t="inlineStr">
        <is>
          <t>M44A</t>
        </is>
      </c>
      <c r="J50" s="29" t="n">
        <v>4.34</v>
      </c>
      <c r="K50" s="29" t="n">
        <v>2.26</v>
      </c>
      <c r="L50" s="30" t="n">
        <v>1</v>
      </c>
      <c r="M50" s="25">
        <f>(J50+K50)*L50</f>
        <v/>
      </c>
      <c r="N50" s="25">
        <f>6.6*L50</f>
        <v/>
      </c>
      <c r="O50" s="25">
        <f>4.34*L50</f>
        <v/>
      </c>
      <c r="P50" s="25">
        <f>2.26*L50</f>
        <v/>
      </c>
      <c r="Q50" s="25" t="n"/>
      <c r="R50" s="25" t="n"/>
      <c r="S50" s="28" t="n">
        <v>536</v>
      </c>
    </row>
    <row r="51">
      <c r="A51" s="28" t="n">
        <v>50</v>
      </c>
      <c r="B51" s="28" t="inlineStr">
        <is>
          <t>Base</t>
        </is>
      </c>
      <c r="C51" s="28" t="inlineStr">
        <is>
          <t>Térreo</t>
        </is>
      </c>
      <c r="D51" s="28" t="inlineStr">
        <is>
          <t>A</t>
        </is>
      </c>
      <c r="E51" s="28" t="n">
        <v>108</v>
      </c>
      <c r="F51" s="28" t="inlineStr">
        <is>
          <t>3.8.7</t>
        </is>
      </c>
      <c r="G51" s="28" t="inlineStr">
        <is>
          <t>Circulação</t>
        </is>
      </c>
      <c r="H51" s="28" t="inlineStr">
        <is>
          <t>23</t>
        </is>
      </c>
      <c r="I51" s="28" t="inlineStr">
        <is>
          <t>M44A</t>
        </is>
      </c>
      <c r="J51" s="29" t="n">
        <v>144.93</v>
      </c>
      <c r="K51" s="29" t="n">
        <v>36.08</v>
      </c>
      <c r="L51" s="30" t="n">
        <v>1</v>
      </c>
      <c r="M51" s="25">
        <f>(J51+K51)*L51</f>
        <v/>
      </c>
      <c r="N51" s="25">
        <f>181.01*L51</f>
        <v/>
      </c>
      <c r="O51" s="25">
        <f>144.93*L51</f>
        <v/>
      </c>
      <c r="P51" s="25">
        <f>36.08*L51</f>
        <v/>
      </c>
      <c r="Q51" s="25" t="n"/>
      <c r="R51" s="25" t="n"/>
      <c r="S51" s="28" t="n">
        <v>550</v>
      </c>
    </row>
    <row r="52">
      <c r="A52" s="28" t="n">
        <v>51</v>
      </c>
      <c r="B52" s="28" t="inlineStr">
        <is>
          <t>Base</t>
        </is>
      </c>
      <c r="C52" s="28" t="inlineStr">
        <is>
          <t>Térreo</t>
        </is>
      </c>
      <c r="D52" s="28" t="inlineStr">
        <is>
          <t>A</t>
        </is>
      </c>
      <c r="E52" s="28" t="n">
        <v>108</v>
      </c>
      <c r="F52" s="28" t="inlineStr">
        <is>
          <t>3.8.7</t>
        </is>
      </c>
      <c r="G52" s="28" t="inlineStr">
        <is>
          <t>Caixão Perdido</t>
        </is>
      </c>
      <c r="H52" s="28" t="inlineStr">
        <is>
          <t>24</t>
        </is>
      </c>
      <c r="I52" s="28" t="inlineStr">
        <is>
          <t>M44A</t>
        </is>
      </c>
      <c r="J52" s="29" t="n">
        <v>43.39</v>
      </c>
      <c r="K52" s="29" t="n">
        <v>10.33</v>
      </c>
      <c r="L52" s="30" t="n">
        <v>5</v>
      </c>
      <c r="M52" s="25">
        <f>(J52+K52)*L52</f>
        <v/>
      </c>
      <c r="N52" s="25">
        <f>53.72*L52</f>
        <v/>
      </c>
      <c r="O52" s="25">
        <f>43.39*L52</f>
        <v/>
      </c>
      <c r="P52" s="25">
        <f>10.33*L52</f>
        <v/>
      </c>
      <c r="Q52" s="25" t="n"/>
      <c r="R52" s="25" t="n"/>
      <c r="S52" s="28" t="n">
        <v>564</v>
      </c>
    </row>
    <row r="53">
      <c r="A53" s="28" t="n">
        <v>52</v>
      </c>
      <c r="B53" s="28" t="inlineStr">
        <is>
          <t>Base</t>
        </is>
      </c>
      <c r="C53" s="28" t="inlineStr">
        <is>
          <t>Térreo</t>
        </is>
      </c>
      <c r="D53" s="28" t="inlineStr">
        <is>
          <t>A</t>
        </is>
      </c>
      <c r="E53" s="28" t="n">
        <v>108</v>
      </c>
      <c r="F53" s="28" t="inlineStr">
        <is>
          <t>3.8.7</t>
        </is>
      </c>
      <c r="G53" s="28" t="inlineStr">
        <is>
          <t>Lajes sobre enchimento circulação</t>
        </is>
      </c>
      <c r="H53" s="28" t="inlineStr">
        <is>
          <t>25</t>
        </is>
      </c>
      <c r="I53" s="28" t="inlineStr">
        <is>
          <t>M44A</t>
        </is>
      </c>
      <c r="J53" s="29" t="n">
        <v>110.02</v>
      </c>
      <c r="K53" s="29" t="n">
        <v>22.25</v>
      </c>
      <c r="L53" s="30" t="n">
        <v>1</v>
      </c>
      <c r="M53" s="25">
        <f>(J53+K53)*L53</f>
        <v/>
      </c>
      <c r="N53" s="25">
        <f>132.27*L53</f>
        <v/>
      </c>
      <c r="O53" s="25">
        <f>110.02*L53</f>
        <v/>
      </c>
      <c r="P53" s="25">
        <f>22.25*L53</f>
        <v/>
      </c>
      <c r="Q53" s="25" t="n"/>
      <c r="R53" s="25" t="n"/>
      <c r="S53" s="28" t="n">
        <v>578</v>
      </c>
    </row>
    <row r="54">
      <c r="A54" s="28" t="n">
        <v>53</v>
      </c>
      <c r="B54" s="28" t="inlineStr">
        <is>
          <t>Base</t>
        </is>
      </c>
      <c r="C54" s="28" t="inlineStr">
        <is>
          <t>Térreo</t>
        </is>
      </c>
      <c r="D54" s="28" t="inlineStr">
        <is>
          <t>A</t>
        </is>
      </c>
      <c r="E54" s="28" t="n">
        <v>108</v>
      </c>
      <c r="F54" s="28" t="inlineStr">
        <is>
          <t>3.8.7</t>
        </is>
      </c>
      <c r="G54" s="28" t="inlineStr">
        <is>
          <t>Laje sob enchimento rampa</t>
        </is>
      </c>
      <c r="H54" s="28" t="inlineStr">
        <is>
          <t>26</t>
        </is>
      </c>
      <c r="I54" s="28" t="inlineStr">
        <is>
          <t>M44A</t>
        </is>
      </c>
      <c r="J54" s="29" t="n">
        <v>11.64</v>
      </c>
      <c r="K54" s="29" t="n">
        <v>3.63</v>
      </c>
      <c r="L54" s="30" t="n">
        <v>1</v>
      </c>
      <c r="M54" s="25">
        <f>(J54+K54)*L54</f>
        <v/>
      </c>
      <c r="N54" s="25">
        <f>15.27*L54</f>
        <v/>
      </c>
      <c r="O54" s="25">
        <f>11.64*L54</f>
        <v/>
      </c>
      <c r="P54" s="25">
        <f>3.63*L54</f>
        <v/>
      </c>
      <c r="Q54" s="25" t="n"/>
      <c r="R54" s="25" t="n"/>
      <c r="S54" s="28" t="n">
        <v>592</v>
      </c>
    </row>
    <row r="55">
      <c r="A55" s="28" t="n">
        <v>54</v>
      </c>
      <c r="B55" s="28" t="inlineStr">
        <is>
          <t>Base</t>
        </is>
      </c>
      <c r="C55" s="28" t="inlineStr">
        <is>
          <t>Térreo</t>
        </is>
      </c>
      <c r="D55" s="28" t="inlineStr">
        <is>
          <t>A</t>
        </is>
      </c>
      <c r="E55" s="28" t="n">
        <v>108</v>
      </c>
      <c r="F55" s="28" t="inlineStr">
        <is>
          <t>3.8.8</t>
        </is>
      </c>
      <c r="G55" s="28" t="inlineStr">
        <is>
          <t>Riacho</t>
        </is>
      </c>
      <c r="H55" s="28" t="inlineStr">
        <is>
          <t>27</t>
        </is>
      </c>
      <c r="I55" s="28" t="inlineStr">
        <is>
          <t>M34AM44AD2</t>
        </is>
      </c>
      <c r="J55" s="29" t="n">
        <v>7.5</v>
      </c>
      <c r="K55" s="29" t="n">
        <v>8.32</v>
      </c>
      <c r="L55" s="30" t="n">
        <v>1</v>
      </c>
      <c r="M55" s="25">
        <f>(J55+K55)*L55</f>
        <v/>
      </c>
      <c r="N55" s="25">
        <f>15.82*L55</f>
        <v/>
      </c>
      <c r="O55" s="25">
        <f>7.5*L55</f>
        <v/>
      </c>
      <c r="P55" s="25">
        <f>8.32*L55</f>
        <v/>
      </c>
      <c r="Q55" s="25" t="n"/>
      <c r="R55" s="25" t="n"/>
      <c r="S55" s="28" t="n">
        <v>607</v>
      </c>
    </row>
    <row r="56">
      <c r="A56" s="28" t="n">
        <v>55</v>
      </c>
      <c r="B56" s="28" t="inlineStr">
        <is>
          <t>Base</t>
        </is>
      </c>
      <c r="C56" s="28" t="inlineStr">
        <is>
          <t>Térreo</t>
        </is>
      </c>
      <c r="D56" s="28" t="inlineStr">
        <is>
          <t>A</t>
        </is>
      </c>
      <c r="E56" s="28" t="n">
        <v>108</v>
      </c>
      <c r="F56" s="28" t="inlineStr">
        <is>
          <t>3.8.9</t>
        </is>
      </c>
      <c r="G56" s="28" t="inlineStr">
        <is>
          <t>Jardim Privativo 01</t>
        </is>
      </c>
      <c r="H56" s="28" t="inlineStr">
        <is>
          <t>28</t>
        </is>
      </c>
      <c r="I56" s="28" t="inlineStr">
        <is>
          <t>M44AR05</t>
        </is>
      </c>
      <c r="J56" s="29" t="n">
        <v>57.87</v>
      </c>
      <c r="K56" s="29" t="n">
        <v>57.99</v>
      </c>
      <c r="L56" s="30" t="n">
        <v>1</v>
      </c>
      <c r="M56" s="25">
        <f>(J56+K56)*L56</f>
        <v/>
      </c>
      <c r="N56" s="25">
        <f>115.86*L56</f>
        <v/>
      </c>
      <c r="O56" s="25">
        <f>57.87*L56</f>
        <v/>
      </c>
      <c r="P56" s="25">
        <f>57.99*L56</f>
        <v/>
      </c>
      <c r="Q56" s="25" t="n"/>
      <c r="R56" s="25">
        <f>57.87*L56</f>
        <v/>
      </c>
      <c r="S56" s="28" t="n">
        <v>626</v>
      </c>
    </row>
    <row r="57">
      <c r="A57" s="28" t="n">
        <v>56</v>
      </c>
      <c r="B57" s="28" t="inlineStr">
        <is>
          <t>Base</t>
        </is>
      </c>
      <c r="C57" s="28" t="inlineStr">
        <is>
          <t>Térreo</t>
        </is>
      </c>
      <c r="D57" s="28" t="inlineStr">
        <is>
          <t>A</t>
        </is>
      </c>
      <c r="E57" s="28" t="n">
        <v>108</v>
      </c>
      <c r="F57" s="28" t="inlineStr">
        <is>
          <t>3.8.9</t>
        </is>
      </c>
      <c r="G57" s="28" t="inlineStr">
        <is>
          <t>Jardim Privativo 02</t>
        </is>
      </c>
      <c r="H57" s="28" t="inlineStr">
        <is>
          <t>29</t>
        </is>
      </c>
      <c r="I57" s="28" t="inlineStr">
        <is>
          <t>M44AR05</t>
        </is>
      </c>
      <c r="J57" s="29" t="n">
        <v>57.09</v>
      </c>
      <c r="K57" s="29" t="n">
        <v>57.7</v>
      </c>
      <c r="L57" s="30" t="n">
        <v>1</v>
      </c>
      <c r="M57" s="25">
        <f>(J57+K57)*L57</f>
        <v/>
      </c>
      <c r="N57" s="25">
        <f>114.79*L57</f>
        <v/>
      </c>
      <c r="O57" s="25">
        <f>57.09*L57</f>
        <v/>
      </c>
      <c r="P57" s="25">
        <f>57.7*L57</f>
        <v/>
      </c>
      <c r="Q57" s="25" t="n"/>
      <c r="R57" s="25">
        <f>57.09*L57</f>
        <v/>
      </c>
      <c r="S57" s="28" t="n">
        <v>642</v>
      </c>
    </row>
    <row r="58">
      <c r="A58" s="28" t="n">
        <v>57</v>
      </c>
      <c r="B58" s="28" t="inlineStr">
        <is>
          <t>Base</t>
        </is>
      </c>
      <c r="C58" s="28" t="inlineStr">
        <is>
          <t>Térreo</t>
        </is>
      </c>
      <c r="D58" s="28" t="inlineStr">
        <is>
          <t>A</t>
        </is>
      </c>
      <c r="E58" s="28" t="n">
        <v>108</v>
      </c>
      <c r="F58" s="28" t="inlineStr">
        <is>
          <t>3.8.9</t>
        </is>
      </c>
      <c r="G58" s="28" t="inlineStr">
        <is>
          <t>Jardim Privativo 03</t>
        </is>
      </c>
      <c r="H58" s="28" t="inlineStr">
        <is>
          <t>30</t>
        </is>
      </c>
      <c r="I58" s="28" t="inlineStr">
        <is>
          <t>M44AR05</t>
        </is>
      </c>
      <c r="J58" s="29" t="n">
        <v>56.47</v>
      </c>
      <c r="K58" s="29" t="n">
        <v>57.46</v>
      </c>
      <c r="L58" s="30" t="n">
        <v>1</v>
      </c>
      <c r="M58" s="25">
        <f>(J58+K58)*L58</f>
        <v/>
      </c>
      <c r="N58" s="25">
        <f>113.93*L58</f>
        <v/>
      </c>
      <c r="O58" s="25">
        <f>56.47*L58</f>
        <v/>
      </c>
      <c r="P58" s="25">
        <f>57.46*L58</f>
        <v/>
      </c>
      <c r="Q58" s="25" t="n"/>
      <c r="R58" s="25">
        <f>56.47*L58</f>
        <v/>
      </c>
      <c r="S58" s="28" t="n">
        <v>658</v>
      </c>
    </row>
    <row r="59">
      <c r="A59" s="28" t="n">
        <v>58</v>
      </c>
      <c r="B59" s="28" t="inlineStr">
        <is>
          <t>Base</t>
        </is>
      </c>
      <c r="C59" s="28" t="inlineStr">
        <is>
          <t>Térreo</t>
        </is>
      </c>
      <c r="D59" s="28" t="inlineStr">
        <is>
          <t>A</t>
        </is>
      </c>
      <c r="E59" s="28" t="n">
        <v>108</v>
      </c>
      <c r="F59" s="28" t="inlineStr">
        <is>
          <t>3.8.9</t>
        </is>
      </c>
      <c r="G59" s="28" t="inlineStr">
        <is>
          <t>Jardim Privativo 04</t>
        </is>
      </c>
      <c r="H59" s="28" t="inlineStr">
        <is>
          <t>31</t>
        </is>
      </c>
      <c r="I59" s="28" t="inlineStr">
        <is>
          <t>M44AR05</t>
        </is>
      </c>
      <c r="J59" s="29" t="n">
        <v>55.69</v>
      </c>
      <c r="K59" s="29" t="n">
        <v>57.17</v>
      </c>
      <c r="L59" s="30" t="n">
        <v>1</v>
      </c>
      <c r="M59" s="25">
        <f>(J59+K59)*L59</f>
        <v/>
      </c>
      <c r="N59" s="25">
        <f>112.86*L59</f>
        <v/>
      </c>
      <c r="O59" s="25">
        <f>55.69*L59</f>
        <v/>
      </c>
      <c r="P59" s="25">
        <f>57.17*L59</f>
        <v/>
      </c>
      <c r="Q59" s="25" t="n"/>
      <c r="R59" s="25">
        <f>55.69*L59</f>
        <v/>
      </c>
      <c r="S59" s="28" t="n">
        <v>674</v>
      </c>
    </row>
    <row r="60">
      <c r="A60" s="28" t="n">
        <v>59</v>
      </c>
      <c r="B60" s="28" t="inlineStr">
        <is>
          <t>Base</t>
        </is>
      </c>
      <c r="C60" s="28" t="inlineStr">
        <is>
          <t>Térreo</t>
        </is>
      </c>
      <c r="D60" s="28" t="inlineStr">
        <is>
          <t>A</t>
        </is>
      </c>
      <c r="E60" s="28" t="n">
        <v>108</v>
      </c>
      <c r="F60" s="28" t="inlineStr">
        <is>
          <t>3.8.9</t>
        </is>
      </c>
      <c r="G60" s="28" t="inlineStr">
        <is>
          <t>Jardim Privativo 05</t>
        </is>
      </c>
      <c r="H60" s="28" t="inlineStr">
        <is>
          <t>32</t>
        </is>
      </c>
      <c r="I60" s="28" t="inlineStr">
        <is>
          <t>M44AR05</t>
        </is>
      </c>
      <c r="J60" s="29" t="n">
        <v>55.06</v>
      </c>
      <c r="K60" s="29" t="n">
        <v>56.93</v>
      </c>
      <c r="L60" s="30" t="n">
        <v>1</v>
      </c>
      <c r="M60" s="25">
        <f>(J60+K60)*L60</f>
        <v/>
      </c>
      <c r="N60" s="25">
        <f>111.99*L60</f>
        <v/>
      </c>
      <c r="O60" s="25">
        <f>55.06*L60</f>
        <v/>
      </c>
      <c r="P60" s="25">
        <f>56.93*L60</f>
        <v/>
      </c>
      <c r="Q60" s="25" t="n"/>
      <c r="R60" s="25">
        <f>55.06*L60</f>
        <v/>
      </c>
      <c r="S60" s="28" t="n">
        <v>690</v>
      </c>
    </row>
    <row r="61">
      <c r="A61" s="28" t="n">
        <v>60</v>
      </c>
      <c r="B61" s="28" t="inlineStr">
        <is>
          <t>Base</t>
        </is>
      </c>
      <c r="C61" s="28" t="inlineStr">
        <is>
          <t>Térreo</t>
        </is>
      </c>
      <c r="D61" s="28" t="inlineStr">
        <is>
          <t>A</t>
        </is>
      </c>
      <c r="E61" s="28" t="n">
        <v>108</v>
      </c>
      <c r="F61" s="28" t="inlineStr">
        <is>
          <t>3.8.9</t>
        </is>
      </c>
      <c r="G61" s="28" t="inlineStr">
        <is>
          <t>Jardim Externos</t>
        </is>
      </c>
      <c r="H61" s="28" t="inlineStr">
        <is>
          <t>33</t>
        </is>
      </c>
      <c r="I61" s="28" t="inlineStr">
        <is>
          <t>M44AR05</t>
        </is>
      </c>
      <c r="J61" s="29" t="n">
        <v>88.11</v>
      </c>
      <c r="K61" s="29" t="n">
        <v>110.19</v>
      </c>
      <c r="L61" s="30" t="n">
        <v>1</v>
      </c>
      <c r="M61" s="25">
        <f>(J61+K61)*L61</f>
        <v/>
      </c>
      <c r="N61" s="25">
        <f>198.3*L61</f>
        <v/>
      </c>
      <c r="O61" s="25">
        <f>88.11*L61</f>
        <v/>
      </c>
      <c r="P61" s="25">
        <f>110.19*L61</f>
        <v/>
      </c>
      <c r="Q61" s="25" t="n"/>
      <c r="R61" s="25">
        <f>88.11*L61</f>
        <v/>
      </c>
      <c r="S61" s="28" t="n">
        <v>706</v>
      </c>
    </row>
    <row r="62">
      <c r="A62" s="28" t="n">
        <v>61</v>
      </c>
      <c r="B62" s="28" t="inlineStr">
        <is>
          <t>Base</t>
        </is>
      </c>
      <c r="C62" s="28" t="inlineStr">
        <is>
          <t>Térreo</t>
        </is>
      </c>
      <c r="D62" s="28" t="inlineStr">
        <is>
          <t>A</t>
        </is>
      </c>
      <c r="E62" s="28" t="n">
        <v>108</v>
      </c>
      <c r="F62" s="28" t="inlineStr">
        <is>
          <t>3.8.10</t>
        </is>
      </c>
      <c r="G62" s="28" t="inlineStr">
        <is>
          <t>Terraço 04</t>
        </is>
      </c>
      <c r="H62" s="28" t="inlineStr">
        <is>
          <t>34</t>
        </is>
      </c>
      <c r="I62" s="28" t="inlineStr">
        <is>
          <t>M44AD2</t>
        </is>
      </c>
      <c r="J62" s="29" t="n">
        <v>44.72</v>
      </c>
      <c r="K62" s="29" t="n">
        <v>6.37</v>
      </c>
      <c r="L62" s="30" t="n">
        <v>5</v>
      </c>
      <c r="M62" s="25">
        <f>(J62+K62)*L62</f>
        <v/>
      </c>
      <c r="N62" s="25">
        <f>51.09*L62</f>
        <v/>
      </c>
      <c r="O62" s="25">
        <f>44.72*L62</f>
        <v/>
      </c>
      <c r="P62" s="25">
        <f>6.37*L62</f>
        <v/>
      </c>
      <c r="Q62" s="25" t="n"/>
      <c r="R62" s="25" t="n"/>
      <c r="S62" s="28" t="n">
        <v>723</v>
      </c>
    </row>
    <row r="63">
      <c r="A63" s="28" t="n">
        <v>62</v>
      </c>
      <c r="B63" s="28" t="inlineStr">
        <is>
          <t>Base</t>
        </is>
      </c>
      <c r="C63" s="28" t="inlineStr">
        <is>
          <t>Térreo</t>
        </is>
      </c>
      <c r="D63" s="28" t="inlineStr">
        <is>
          <t>B</t>
        </is>
      </c>
      <c r="E63" s="28" t="n">
        <v>109</v>
      </c>
      <c r="F63" s="28" t="inlineStr">
        <is>
          <t>3.9.1</t>
        </is>
      </c>
      <c r="G63" s="28" t="inlineStr">
        <is>
          <t>Banho 01</t>
        </is>
      </c>
      <c r="H63" s="28" t="inlineStr">
        <is>
          <t>1</t>
        </is>
      </c>
      <c r="I63" s="28" t="inlineStr">
        <is>
          <t>I20EL</t>
        </is>
      </c>
      <c r="J63" s="29" t="n">
        <v>3.66</v>
      </c>
      <c r="K63" s="29" t="n">
        <v>8.140000000000001</v>
      </c>
      <c r="L63" s="30" t="n">
        <v>4</v>
      </c>
      <c r="M63" s="25">
        <f>(J63+K63)*L63</f>
        <v/>
      </c>
      <c r="N63" s="25">
        <f>11.8*L63</f>
        <v/>
      </c>
      <c r="O63" s="25" t="n"/>
      <c r="P63" s="25" t="n"/>
      <c r="Q63" s="25" t="n"/>
      <c r="R63" s="25" t="n"/>
      <c r="S63" s="28" t="n">
        <v>831</v>
      </c>
    </row>
    <row r="64">
      <c r="A64" s="28" t="n">
        <v>63</v>
      </c>
      <c r="B64" s="28" t="inlineStr">
        <is>
          <t>Base</t>
        </is>
      </c>
      <c r="C64" s="28" t="inlineStr">
        <is>
          <t>Térreo</t>
        </is>
      </c>
      <c r="D64" s="28" t="inlineStr">
        <is>
          <t>B</t>
        </is>
      </c>
      <c r="E64" s="28" t="n">
        <v>109</v>
      </c>
      <c r="F64" s="28" t="inlineStr">
        <is>
          <t>3.9.1</t>
        </is>
      </c>
      <c r="G64" s="28" t="inlineStr">
        <is>
          <t>Banho 02</t>
        </is>
      </c>
      <c r="H64" s="28" t="inlineStr">
        <is>
          <t>2</t>
        </is>
      </c>
      <c r="I64" s="28" t="inlineStr">
        <is>
          <t>I20EL</t>
        </is>
      </c>
      <c r="J64" s="29" t="n">
        <v>3.61</v>
      </c>
      <c r="K64" s="29" t="n">
        <v>8.130000000000001</v>
      </c>
      <c r="L64" s="30" t="n">
        <v>4</v>
      </c>
      <c r="M64" s="25">
        <f>(J64+K64)*L64</f>
        <v/>
      </c>
      <c r="N64" s="25">
        <f>11.74*L64</f>
        <v/>
      </c>
      <c r="O64" s="25" t="n"/>
      <c r="P64" s="25" t="n"/>
      <c r="Q64" s="25" t="n"/>
      <c r="R64" s="25" t="n"/>
      <c r="S64" s="28" t="n">
        <v>839</v>
      </c>
    </row>
    <row r="65">
      <c r="A65" s="28" t="n">
        <v>64</v>
      </c>
      <c r="B65" s="28" t="inlineStr">
        <is>
          <t>Base</t>
        </is>
      </c>
      <c r="C65" s="28" t="inlineStr">
        <is>
          <t>Térreo</t>
        </is>
      </c>
      <c r="D65" s="28" t="inlineStr">
        <is>
          <t>B</t>
        </is>
      </c>
      <c r="E65" s="28" t="n">
        <v>109</v>
      </c>
      <c r="F65" s="28" t="inlineStr">
        <is>
          <t>3.9.1</t>
        </is>
      </c>
      <c r="G65" s="28" t="inlineStr">
        <is>
          <t>Banho Master</t>
        </is>
      </c>
      <c r="H65" s="28" t="inlineStr">
        <is>
          <t>3</t>
        </is>
      </c>
      <c r="I65" s="28" t="inlineStr">
        <is>
          <t>I20EL</t>
        </is>
      </c>
      <c r="J65" s="29" t="n">
        <v>6.51</v>
      </c>
      <c r="K65" s="29" t="n">
        <v>7.37</v>
      </c>
      <c r="L65" s="30" t="n">
        <v>4</v>
      </c>
      <c r="M65" s="25">
        <f>(J65+K65)*L65</f>
        <v/>
      </c>
      <c r="N65" s="25">
        <f>13.88*L65</f>
        <v/>
      </c>
      <c r="O65" s="25" t="n"/>
      <c r="P65" s="25" t="n"/>
      <c r="Q65" s="25" t="n"/>
      <c r="R65" s="25" t="n"/>
      <c r="S65" s="28" t="n">
        <v>847</v>
      </c>
    </row>
    <row r="66">
      <c r="A66" s="28" t="n">
        <v>65</v>
      </c>
      <c r="B66" s="28" t="inlineStr">
        <is>
          <t>Base</t>
        </is>
      </c>
      <c r="C66" s="28" t="inlineStr">
        <is>
          <t>Térreo</t>
        </is>
      </c>
      <c r="D66" s="28" t="inlineStr">
        <is>
          <t>B</t>
        </is>
      </c>
      <c r="E66" s="28" t="n">
        <v>109</v>
      </c>
      <c r="F66" s="28" t="inlineStr">
        <is>
          <t>3.9.1</t>
        </is>
      </c>
      <c r="G66" s="28" t="inlineStr">
        <is>
          <t>Banho Serviço</t>
        </is>
      </c>
      <c r="H66" s="28" t="inlineStr">
        <is>
          <t>4</t>
        </is>
      </c>
      <c r="I66" s="28" t="inlineStr">
        <is>
          <t>I20EL</t>
        </is>
      </c>
      <c r="J66" s="29" t="n">
        <v>2.59</v>
      </c>
      <c r="K66" s="29" t="n">
        <v>5.08</v>
      </c>
      <c r="L66" s="30" t="n">
        <v>4</v>
      </c>
      <c r="M66" s="25">
        <f>(J66+K66)*L66</f>
        <v/>
      </c>
      <c r="N66" s="25">
        <f>7.67*L66</f>
        <v/>
      </c>
      <c r="O66" s="25" t="n"/>
      <c r="P66" s="25" t="n"/>
      <c r="Q66" s="25" t="n"/>
      <c r="R66" s="25" t="n"/>
      <c r="S66" s="28" t="n">
        <v>855</v>
      </c>
    </row>
    <row r="67">
      <c r="A67" s="28" t="n">
        <v>66</v>
      </c>
      <c r="B67" s="28" t="inlineStr">
        <is>
          <t>Base</t>
        </is>
      </c>
      <c r="C67" s="28" t="inlineStr">
        <is>
          <t>Térreo</t>
        </is>
      </c>
      <c r="D67" s="28" t="inlineStr">
        <is>
          <t>B</t>
        </is>
      </c>
      <c r="E67" s="28" t="n">
        <v>109</v>
      </c>
      <c r="F67" s="28" t="inlineStr">
        <is>
          <t>3.9.1</t>
        </is>
      </c>
      <c r="G67" s="28" t="inlineStr">
        <is>
          <t>Lavabo</t>
        </is>
      </c>
      <c r="H67" s="28" t="inlineStr">
        <is>
          <t>5</t>
        </is>
      </c>
      <c r="I67" s="28" t="inlineStr">
        <is>
          <t>I20EL</t>
        </is>
      </c>
      <c r="J67" s="29" t="n">
        <v>2.7</v>
      </c>
      <c r="K67" s="29" t="n">
        <v>1.84</v>
      </c>
      <c r="L67" s="30" t="n">
        <v>4</v>
      </c>
      <c r="M67" s="25">
        <f>(J67+K67)*L67</f>
        <v/>
      </c>
      <c r="N67" s="25">
        <f>4.54*L67</f>
        <v/>
      </c>
      <c r="O67" s="25" t="n"/>
      <c r="P67" s="25" t="n"/>
      <c r="Q67" s="25" t="n"/>
      <c r="R67" s="25" t="n"/>
      <c r="S67" s="28" t="n">
        <v>863</v>
      </c>
    </row>
    <row r="68">
      <c r="A68" s="28" t="n">
        <v>67</v>
      </c>
      <c r="B68" s="28" t="inlineStr">
        <is>
          <t>Base</t>
        </is>
      </c>
      <c r="C68" s="28" t="inlineStr">
        <is>
          <t>Térreo</t>
        </is>
      </c>
      <c r="D68" s="28" t="inlineStr">
        <is>
          <t>B</t>
        </is>
      </c>
      <c r="E68" s="28" t="n">
        <v>109</v>
      </c>
      <c r="F68" s="28" t="inlineStr">
        <is>
          <t>3.9.1</t>
        </is>
      </c>
      <c r="G68" s="28" t="inlineStr">
        <is>
          <t>Área de Serviço</t>
        </is>
      </c>
      <c r="H68" s="28" t="inlineStr">
        <is>
          <t>6</t>
        </is>
      </c>
      <c r="I68" s="28" t="inlineStr">
        <is>
          <t>I20EL</t>
        </is>
      </c>
      <c r="J68" s="29" t="n">
        <v>3.92</v>
      </c>
      <c r="K68" s="29" t="n">
        <v>2.72</v>
      </c>
      <c r="L68" s="30" t="n">
        <v>4</v>
      </c>
      <c r="M68" s="25">
        <f>(J68+K68)*L68</f>
        <v/>
      </c>
      <c r="N68" s="25">
        <f>6.64*L68</f>
        <v/>
      </c>
      <c r="O68" s="25" t="n"/>
      <c r="P68" s="25" t="n"/>
      <c r="Q68" s="25" t="n"/>
      <c r="R68" s="25" t="n"/>
      <c r="S68" s="28" t="n">
        <v>871</v>
      </c>
    </row>
    <row r="69">
      <c r="A69" s="28" t="n">
        <v>68</v>
      </c>
      <c r="B69" s="28" t="inlineStr">
        <is>
          <t>Base</t>
        </is>
      </c>
      <c r="C69" s="28" t="inlineStr">
        <is>
          <t>Térreo</t>
        </is>
      </c>
      <c r="D69" s="28" t="inlineStr">
        <is>
          <t>B</t>
        </is>
      </c>
      <c r="E69" s="28" t="n">
        <v>109</v>
      </c>
      <c r="F69" s="28" t="inlineStr">
        <is>
          <t>3.9.1</t>
        </is>
      </c>
      <c r="G69" s="28" t="inlineStr">
        <is>
          <t>Comp. Lixo</t>
        </is>
      </c>
      <c r="H69" s="28" t="inlineStr">
        <is>
          <t>7</t>
        </is>
      </c>
      <c r="I69" s="28" t="inlineStr">
        <is>
          <t>I20EL</t>
        </is>
      </c>
      <c r="J69" s="29" t="n">
        <v>1.09</v>
      </c>
      <c r="K69" s="29" t="n">
        <v>13.66</v>
      </c>
      <c r="L69" s="30" t="n">
        <v>2</v>
      </c>
      <c r="M69" s="25">
        <f>(J69+K69)*L69</f>
        <v/>
      </c>
      <c r="N69" s="25">
        <f>14.75*L69</f>
        <v/>
      </c>
      <c r="O69" s="25" t="n"/>
      <c r="P69" s="25" t="n"/>
      <c r="Q69" s="25" t="n"/>
      <c r="R69" s="25" t="n"/>
      <c r="S69" s="28" t="n">
        <v>879</v>
      </c>
    </row>
    <row r="70">
      <c r="A70" s="28" t="n">
        <v>69</v>
      </c>
      <c r="B70" s="28" t="inlineStr">
        <is>
          <t>Base</t>
        </is>
      </c>
      <c r="C70" s="28" t="inlineStr">
        <is>
          <t>Térreo</t>
        </is>
      </c>
      <c r="D70" s="28" t="inlineStr">
        <is>
          <t>B</t>
        </is>
      </c>
      <c r="E70" s="28" t="n">
        <v>109</v>
      </c>
      <c r="F70" s="28" t="inlineStr">
        <is>
          <t>3.9.1</t>
        </is>
      </c>
      <c r="G70" s="28" t="inlineStr">
        <is>
          <t>Tubulação Emergente</t>
        </is>
      </c>
      <c r="H70" s="28" t="inlineStr">
        <is>
          <t>8</t>
        </is>
      </c>
      <c r="I70" s="28" t="inlineStr">
        <is>
          <t>I20EL</t>
        </is>
      </c>
      <c r="J70" s="29" t="n">
        <v>0.16</v>
      </c>
      <c r="K70" s="29" t="n">
        <v>0.08</v>
      </c>
      <c r="L70" s="30" t="n">
        <v>4</v>
      </c>
      <c r="M70" s="25">
        <f>(J70+K70)*L70</f>
        <v/>
      </c>
      <c r="N70" s="25">
        <f>0.24*L70</f>
        <v/>
      </c>
      <c r="O70" s="25" t="n"/>
      <c r="P70" s="25" t="n"/>
      <c r="Q70" s="25" t="n"/>
      <c r="R70" s="25" t="n"/>
      <c r="S70" s="28" t="n">
        <v>887</v>
      </c>
    </row>
    <row r="71">
      <c r="A71" s="28" t="n">
        <v>70</v>
      </c>
      <c r="B71" s="28" t="inlineStr">
        <is>
          <t>Base</t>
        </is>
      </c>
      <c r="C71" s="28" t="inlineStr">
        <is>
          <t>Térreo</t>
        </is>
      </c>
      <c r="D71" s="28" t="inlineStr">
        <is>
          <t>B</t>
        </is>
      </c>
      <c r="E71" s="28" t="n">
        <v>109</v>
      </c>
      <c r="F71" s="28" t="inlineStr">
        <is>
          <t>3.9.2</t>
        </is>
      </c>
      <c r="G71" s="28" t="inlineStr">
        <is>
          <t>Shaft</t>
        </is>
      </c>
      <c r="H71" s="28" t="inlineStr">
        <is>
          <t>9</t>
        </is>
      </c>
      <c r="I71" s="28" t="inlineStr">
        <is>
          <t>I20EL</t>
        </is>
      </c>
      <c r="J71" s="29" t="n">
        <v>0.51</v>
      </c>
      <c r="K71" s="29" t="n">
        <v>0.65</v>
      </c>
      <c r="L71" s="30" t="n">
        <v>4</v>
      </c>
      <c r="M71" s="25">
        <f>(J71+K71)*L71</f>
        <v/>
      </c>
      <c r="N71" s="25">
        <f>1.16*L71</f>
        <v/>
      </c>
      <c r="O71" s="25">
        <f>1.16*L71</f>
        <v/>
      </c>
      <c r="P71" s="25" t="n"/>
      <c r="Q71" s="25" t="n"/>
      <c r="R71" s="25" t="n"/>
      <c r="S71" s="28" t="n">
        <v>895</v>
      </c>
    </row>
    <row r="72">
      <c r="A72" s="28" t="n">
        <v>71</v>
      </c>
      <c r="B72" s="28" t="inlineStr">
        <is>
          <t>Base</t>
        </is>
      </c>
      <c r="C72" s="28" t="inlineStr">
        <is>
          <t>Térreo</t>
        </is>
      </c>
      <c r="D72" s="28" t="inlineStr">
        <is>
          <t>B</t>
        </is>
      </c>
      <c r="E72" s="28" t="n">
        <v>109</v>
      </c>
      <c r="F72" s="28" t="inlineStr">
        <is>
          <t>3.9.3</t>
        </is>
      </c>
      <c r="G72" s="28" t="inlineStr">
        <is>
          <t>Terraço 01</t>
        </is>
      </c>
      <c r="H72" s="28" t="inlineStr">
        <is>
          <t>10</t>
        </is>
      </c>
      <c r="I72" s="28" t="inlineStr">
        <is>
          <t>I30EL</t>
        </is>
      </c>
      <c r="J72" s="29" t="n">
        <v>16.6</v>
      </c>
      <c r="K72" s="29" t="n">
        <v>3.55</v>
      </c>
      <c r="L72" s="30" t="n">
        <v>1</v>
      </c>
      <c r="M72" s="25">
        <f>(J72+K72)*L72</f>
        <v/>
      </c>
      <c r="N72" s="25">
        <f>20.15*L72</f>
        <v/>
      </c>
      <c r="O72" s="25" t="n"/>
      <c r="P72" s="25" t="n"/>
      <c r="Q72" s="25" t="n"/>
      <c r="R72" s="25" t="n"/>
      <c r="S72" s="28" t="n">
        <v>906</v>
      </c>
    </row>
    <row r="73">
      <c r="A73" s="28" t="n">
        <v>72</v>
      </c>
      <c r="B73" s="28" t="inlineStr">
        <is>
          <t>Base</t>
        </is>
      </c>
      <c r="C73" s="28" t="inlineStr">
        <is>
          <t>Térreo</t>
        </is>
      </c>
      <c r="D73" s="28" t="inlineStr">
        <is>
          <t>B</t>
        </is>
      </c>
      <c r="E73" s="28" t="n">
        <v>109</v>
      </c>
      <c r="F73" s="28" t="inlineStr">
        <is>
          <t>3.9.3</t>
        </is>
      </c>
      <c r="G73" s="28" t="inlineStr">
        <is>
          <t>Terraço 02</t>
        </is>
      </c>
      <c r="H73" s="28" t="inlineStr">
        <is>
          <t>11</t>
        </is>
      </c>
      <c r="I73" s="28" t="inlineStr">
        <is>
          <t>I30EL</t>
        </is>
      </c>
      <c r="J73" s="29" t="n">
        <v>16.42</v>
      </c>
      <c r="K73" s="29" t="n">
        <v>3.46</v>
      </c>
      <c r="L73" s="30" t="n">
        <v>2</v>
      </c>
      <c r="M73" s="25">
        <f>(J73+K73)*L73</f>
        <v/>
      </c>
      <c r="N73" s="25">
        <f>19.88*L73</f>
        <v/>
      </c>
      <c r="O73" s="25" t="n"/>
      <c r="P73" s="25" t="n"/>
      <c r="Q73" s="25" t="n"/>
      <c r="R73" s="25" t="n"/>
      <c r="S73" s="28" t="n">
        <v>914</v>
      </c>
    </row>
    <row r="74">
      <c r="A74" s="28" t="n">
        <v>73</v>
      </c>
      <c r="B74" s="28" t="inlineStr">
        <is>
          <t>Base</t>
        </is>
      </c>
      <c r="C74" s="28" t="inlineStr">
        <is>
          <t>Térreo</t>
        </is>
      </c>
      <c r="D74" s="28" t="inlineStr">
        <is>
          <t>B</t>
        </is>
      </c>
      <c r="E74" s="28" t="n">
        <v>109</v>
      </c>
      <c r="F74" s="28" t="inlineStr">
        <is>
          <t>3.9.3</t>
        </is>
      </c>
      <c r="G74" s="28" t="inlineStr">
        <is>
          <t>Terraço 03</t>
        </is>
      </c>
      <c r="H74" s="28" t="inlineStr">
        <is>
          <t>12</t>
        </is>
      </c>
      <c r="I74" s="28" t="inlineStr">
        <is>
          <t>I30EL</t>
        </is>
      </c>
      <c r="J74" s="29" t="n">
        <v>16.58</v>
      </c>
      <c r="K74" s="29" t="n">
        <v>3.55</v>
      </c>
      <c r="L74" s="30" t="n">
        <v>1</v>
      </c>
      <c r="M74" s="25">
        <f>(J74+K74)*L74</f>
        <v/>
      </c>
      <c r="N74" s="25">
        <f>20.13*L74</f>
        <v/>
      </c>
      <c r="O74" s="25" t="n"/>
      <c r="P74" s="25" t="n"/>
      <c r="Q74" s="25" t="n"/>
      <c r="R74" s="25" t="n"/>
      <c r="S74" s="28" t="n">
        <v>922</v>
      </c>
    </row>
    <row r="75">
      <c r="A75" s="28" t="n">
        <v>74</v>
      </c>
      <c r="B75" s="28" t="inlineStr">
        <is>
          <t>Base</t>
        </is>
      </c>
      <c r="C75" s="28" t="inlineStr">
        <is>
          <t>Térreo</t>
        </is>
      </c>
      <c r="D75" s="28" t="inlineStr">
        <is>
          <t>B</t>
        </is>
      </c>
      <c r="E75" s="28" t="n">
        <v>109</v>
      </c>
      <c r="F75" s="28" t="inlineStr">
        <is>
          <t>3.9.4</t>
        </is>
      </c>
      <c r="G75" s="28" t="inlineStr">
        <is>
          <t>Abas</t>
        </is>
      </c>
      <c r="H75" s="28" t="inlineStr">
        <is>
          <t>13</t>
        </is>
      </c>
      <c r="I75" s="28" t="inlineStr">
        <is>
          <t>I30EL</t>
        </is>
      </c>
      <c r="J75" s="29" t="n">
        <v>17.64</v>
      </c>
      <c r="K75" s="29" t="n">
        <v>32.71</v>
      </c>
      <c r="L75" s="30" t="n">
        <v>1</v>
      </c>
      <c r="M75" s="25">
        <f>(J75+K75)*L75</f>
        <v/>
      </c>
      <c r="N75" s="25">
        <f>50.35*L75</f>
        <v/>
      </c>
      <c r="O75" s="25">
        <f>50.35*L75</f>
        <v/>
      </c>
      <c r="P75" s="25" t="n"/>
      <c r="Q75" s="25" t="n"/>
      <c r="R75" s="25" t="n"/>
      <c r="S75" s="28" t="n">
        <v>930</v>
      </c>
    </row>
    <row r="76">
      <c r="A76" s="28" t="n">
        <v>75</v>
      </c>
      <c r="B76" s="28" t="inlineStr">
        <is>
          <t>Base</t>
        </is>
      </c>
      <c r="C76" s="28" t="inlineStr">
        <is>
          <t>Térreo</t>
        </is>
      </c>
      <c r="D76" s="28" t="inlineStr">
        <is>
          <t>B</t>
        </is>
      </c>
      <c r="E76" s="28" t="n">
        <v>109</v>
      </c>
      <c r="F76" s="28" t="inlineStr">
        <is>
          <t>3.9.5</t>
        </is>
      </c>
      <c r="G76" s="28" t="inlineStr">
        <is>
          <t>Escada Social</t>
        </is>
      </c>
      <c r="H76" s="28" t="inlineStr">
        <is>
          <t>14</t>
        </is>
      </c>
      <c r="I76" s="28" t="inlineStr">
        <is>
          <t>M44A</t>
        </is>
      </c>
      <c r="J76" s="29" t="n">
        <v>7.06</v>
      </c>
      <c r="K76" s="29" t="n">
        <v>6.08</v>
      </c>
      <c r="L76" s="30" t="n">
        <v>2</v>
      </c>
      <c r="M76" s="25">
        <f>(J76+K76)*L76</f>
        <v/>
      </c>
      <c r="N76" s="25">
        <f>13.14*L76</f>
        <v/>
      </c>
      <c r="O76" s="25">
        <f>7.06*L76</f>
        <v/>
      </c>
      <c r="P76" s="25">
        <f>6.08*L76</f>
        <v/>
      </c>
      <c r="Q76" s="25" t="n"/>
      <c r="R76" s="25" t="n"/>
      <c r="S76" s="28" t="n">
        <v>941</v>
      </c>
    </row>
    <row r="77">
      <c r="A77" s="28" t="n">
        <v>76</v>
      </c>
      <c r="B77" s="28" t="inlineStr">
        <is>
          <t>Base</t>
        </is>
      </c>
      <c r="C77" s="28" t="inlineStr">
        <is>
          <t>Térreo</t>
        </is>
      </c>
      <c r="D77" s="28" t="inlineStr">
        <is>
          <t>B</t>
        </is>
      </c>
      <c r="E77" s="28" t="n">
        <v>109</v>
      </c>
      <c r="F77" s="28" t="inlineStr">
        <is>
          <t>3.9.5</t>
        </is>
      </c>
      <c r="G77" s="28" t="inlineStr">
        <is>
          <t>Escada Privativa</t>
        </is>
      </c>
      <c r="H77" s="28" t="inlineStr">
        <is>
          <t>15</t>
        </is>
      </c>
      <c r="I77" s="28" t="inlineStr">
        <is>
          <t>M44A</t>
        </is>
      </c>
      <c r="J77" s="29" t="n">
        <v>2.36</v>
      </c>
      <c r="K77" s="29" t="n">
        <v>3.05</v>
      </c>
      <c r="L77" s="30" t="n">
        <v>4</v>
      </c>
      <c r="M77" s="25">
        <f>(J77+K77)*L77</f>
        <v/>
      </c>
      <c r="N77" s="25">
        <f>5.41*L77</f>
        <v/>
      </c>
      <c r="O77" s="25">
        <f>2.36*L77</f>
        <v/>
      </c>
      <c r="P77" s="25">
        <f>3.05*L77</f>
        <v/>
      </c>
      <c r="Q77" s="25" t="n"/>
      <c r="R77" s="25" t="n"/>
      <c r="S77" s="28" t="n">
        <v>955</v>
      </c>
    </row>
    <row r="78">
      <c r="A78" s="28" t="n">
        <v>77</v>
      </c>
      <c r="B78" s="28" t="inlineStr">
        <is>
          <t>Base</t>
        </is>
      </c>
      <c r="C78" s="28" t="inlineStr">
        <is>
          <t>Térreo</t>
        </is>
      </c>
      <c r="D78" s="28" t="inlineStr">
        <is>
          <t>B</t>
        </is>
      </c>
      <c r="E78" s="28" t="n">
        <v>109</v>
      </c>
      <c r="F78" s="28" t="inlineStr">
        <is>
          <t>3.9.5</t>
        </is>
      </c>
      <c r="G78" s="28" t="inlineStr">
        <is>
          <t>Acessos Privativos</t>
        </is>
      </c>
      <c r="H78" s="28" t="inlineStr">
        <is>
          <t>16</t>
        </is>
      </c>
      <c r="I78" s="28" t="inlineStr">
        <is>
          <t>M44A</t>
        </is>
      </c>
      <c r="J78" s="29" t="n">
        <v>14.02</v>
      </c>
      <c r="K78" s="29" t="n">
        <v>9.210000000000001</v>
      </c>
      <c r="L78" s="30" t="n">
        <v>1</v>
      </c>
      <c r="M78" s="25">
        <f>(J78+K78)*L78</f>
        <v/>
      </c>
      <c r="N78" s="25">
        <f>23.23*L78</f>
        <v/>
      </c>
      <c r="O78" s="25">
        <f>14.02*L78</f>
        <v/>
      </c>
      <c r="P78" s="25">
        <f>9.21*L78</f>
        <v/>
      </c>
      <c r="Q78" s="25" t="n"/>
      <c r="R78" s="25" t="n"/>
      <c r="S78" s="28" t="n">
        <v>969</v>
      </c>
    </row>
    <row r="79">
      <c r="A79" s="28" t="n">
        <v>78</v>
      </c>
      <c r="B79" s="28" t="inlineStr">
        <is>
          <t>Base</t>
        </is>
      </c>
      <c r="C79" s="28" t="inlineStr">
        <is>
          <t>Térreo</t>
        </is>
      </c>
      <c r="D79" s="28" t="inlineStr">
        <is>
          <t>B</t>
        </is>
      </c>
      <c r="E79" s="28" t="n">
        <v>109</v>
      </c>
      <c r="F79" s="28" t="inlineStr">
        <is>
          <t>3.9.5</t>
        </is>
      </c>
      <c r="G79" s="28" t="inlineStr">
        <is>
          <t>Clausura 01</t>
        </is>
      </c>
      <c r="H79" s="28" t="inlineStr">
        <is>
          <t>17</t>
        </is>
      </c>
      <c r="I79" s="28" t="inlineStr">
        <is>
          <t>M44A</t>
        </is>
      </c>
      <c r="J79" s="29" t="n">
        <v>23.15</v>
      </c>
      <c r="K79" s="29" t="n">
        <v>6.17</v>
      </c>
      <c r="L79" s="30" t="n">
        <v>1</v>
      </c>
      <c r="M79" s="25">
        <f>(J79+K79)*L79</f>
        <v/>
      </c>
      <c r="N79" s="25">
        <f>29.32*L79</f>
        <v/>
      </c>
      <c r="O79" s="25">
        <f>23.15*L79</f>
        <v/>
      </c>
      <c r="P79" s="25">
        <f>6.17*L79</f>
        <v/>
      </c>
      <c r="Q79" s="25" t="n"/>
      <c r="R79" s="25" t="n"/>
      <c r="S79" s="28" t="n">
        <v>983</v>
      </c>
    </row>
    <row r="80">
      <c r="A80" s="28" t="n">
        <v>79</v>
      </c>
      <c r="B80" s="28" t="inlineStr">
        <is>
          <t>Base</t>
        </is>
      </c>
      <c r="C80" s="28" t="inlineStr">
        <is>
          <t>Térreo</t>
        </is>
      </c>
      <c r="D80" s="28" t="inlineStr">
        <is>
          <t>B</t>
        </is>
      </c>
      <c r="E80" s="28" t="n">
        <v>109</v>
      </c>
      <c r="F80" s="28" t="inlineStr">
        <is>
          <t>3.9.5</t>
        </is>
      </c>
      <c r="G80" s="28" t="inlineStr">
        <is>
          <t>Clausura 02</t>
        </is>
      </c>
      <c r="H80" s="28" t="inlineStr">
        <is>
          <t>18</t>
        </is>
      </c>
      <c r="I80" s="28" t="inlineStr">
        <is>
          <t>M44A</t>
        </is>
      </c>
      <c r="J80" s="29" t="n">
        <v>21.92</v>
      </c>
      <c r="K80" s="29" t="n">
        <v>5.4</v>
      </c>
      <c r="L80" s="30" t="n">
        <v>1</v>
      </c>
      <c r="M80" s="25">
        <f>(J80+K80)*L80</f>
        <v/>
      </c>
      <c r="N80" s="25">
        <f>27.32*L80</f>
        <v/>
      </c>
      <c r="O80" s="25">
        <f>21.92*L80</f>
        <v/>
      </c>
      <c r="P80" s="25">
        <f>5.4*L80</f>
        <v/>
      </c>
      <c r="Q80" s="25" t="n"/>
      <c r="R80" s="25" t="n"/>
      <c r="S80" s="28" t="n">
        <v>997</v>
      </c>
    </row>
    <row r="81">
      <c r="A81" s="28" t="n">
        <v>80</v>
      </c>
      <c r="B81" s="28" t="inlineStr">
        <is>
          <t>Base</t>
        </is>
      </c>
      <c r="C81" s="28" t="inlineStr">
        <is>
          <t>Térreo</t>
        </is>
      </c>
      <c r="D81" s="28" t="inlineStr">
        <is>
          <t>B</t>
        </is>
      </c>
      <c r="E81" s="28" t="n">
        <v>109</v>
      </c>
      <c r="F81" s="28" t="inlineStr">
        <is>
          <t>3.9.5</t>
        </is>
      </c>
      <c r="G81" s="28" t="inlineStr">
        <is>
          <t>Circulação</t>
        </is>
      </c>
      <c r="H81" s="28" t="inlineStr">
        <is>
          <t>19</t>
        </is>
      </c>
      <c r="I81" s="28" t="inlineStr">
        <is>
          <t>M44A</t>
        </is>
      </c>
      <c r="J81" s="29" t="n">
        <v>34</v>
      </c>
      <c r="K81" s="29" t="n">
        <v>9.970000000000001</v>
      </c>
      <c r="L81" s="30" t="n">
        <v>2</v>
      </c>
      <c r="M81" s="25">
        <f>(J81+K81)*L81</f>
        <v/>
      </c>
      <c r="N81" s="25">
        <f>43.97*L81</f>
        <v/>
      </c>
      <c r="O81" s="25">
        <f>34.0*L81</f>
        <v/>
      </c>
      <c r="P81" s="25">
        <f>9.97*L81</f>
        <v/>
      </c>
      <c r="Q81" s="25" t="n"/>
      <c r="R81" s="25" t="n"/>
      <c r="S81" s="28" t="n">
        <v>1011</v>
      </c>
    </row>
    <row r="82">
      <c r="A82" s="28" t="n">
        <v>81</v>
      </c>
      <c r="B82" s="28" t="inlineStr">
        <is>
          <t>Base</t>
        </is>
      </c>
      <c r="C82" s="28" t="inlineStr">
        <is>
          <t>Térreo</t>
        </is>
      </c>
      <c r="D82" s="28" t="inlineStr">
        <is>
          <t>B</t>
        </is>
      </c>
      <c r="E82" s="28" t="n">
        <v>109</v>
      </c>
      <c r="F82" s="28" t="inlineStr">
        <is>
          <t>3.9.5</t>
        </is>
      </c>
      <c r="G82" s="28" t="inlineStr">
        <is>
          <t>Caixão Perdido</t>
        </is>
      </c>
      <c r="H82" s="28" t="inlineStr">
        <is>
          <t>20</t>
        </is>
      </c>
      <c r="I82" s="28" t="inlineStr">
        <is>
          <t>M44A</t>
        </is>
      </c>
      <c r="J82" s="29" t="n">
        <v>43.39</v>
      </c>
      <c r="K82" s="29" t="n">
        <v>10.33</v>
      </c>
      <c r="L82" s="30" t="n">
        <v>4</v>
      </c>
      <c r="M82" s="25">
        <f>(J82+K82)*L82</f>
        <v/>
      </c>
      <c r="N82" s="25">
        <f>53.72*L82</f>
        <v/>
      </c>
      <c r="O82" s="25">
        <f>43.39*L82</f>
        <v/>
      </c>
      <c r="P82" s="25">
        <f>10.33*L82</f>
        <v/>
      </c>
      <c r="Q82" s="25" t="n"/>
      <c r="R82" s="25" t="n"/>
      <c r="S82" s="28" t="n">
        <v>1025</v>
      </c>
    </row>
    <row r="83">
      <c r="A83" s="28" t="n">
        <v>82</v>
      </c>
      <c r="B83" s="28" t="inlineStr">
        <is>
          <t>Base</t>
        </is>
      </c>
      <c r="C83" s="28" t="inlineStr">
        <is>
          <t>Térreo</t>
        </is>
      </c>
      <c r="D83" s="28" t="inlineStr">
        <is>
          <t>B</t>
        </is>
      </c>
      <c r="E83" s="28" t="n">
        <v>109</v>
      </c>
      <c r="F83" s="28" t="inlineStr">
        <is>
          <t>3.9.6</t>
        </is>
      </c>
      <c r="G83" s="28" t="inlineStr">
        <is>
          <t>Terraço 04</t>
        </is>
      </c>
      <c r="H83" s="28" t="inlineStr">
        <is>
          <t>21</t>
        </is>
      </c>
      <c r="I83" s="28" t="inlineStr">
        <is>
          <t>M44AD2</t>
        </is>
      </c>
      <c r="J83" s="29" t="n">
        <v>44.89</v>
      </c>
      <c r="K83" s="29" t="n">
        <v>5.89</v>
      </c>
      <c r="L83" s="30" t="n">
        <v>2</v>
      </c>
      <c r="M83" s="25">
        <f>(J83+K83)*L83</f>
        <v/>
      </c>
      <c r="N83" s="25">
        <f>50.78*L83</f>
        <v/>
      </c>
      <c r="O83" s="25">
        <f>44.89*L83</f>
        <v/>
      </c>
      <c r="P83" s="25">
        <f>5.89*L83</f>
        <v/>
      </c>
      <c r="Q83" s="25" t="n"/>
      <c r="R83" s="25" t="n"/>
      <c r="S83" s="28" t="n">
        <v>1040</v>
      </c>
    </row>
    <row r="84">
      <c r="A84" s="28" t="n">
        <v>83</v>
      </c>
      <c r="B84" s="28" t="inlineStr">
        <is>
          <t>Base</t>
        </is>
      </c>
      <c r="C84" s="28" t="inlineStr">
        <is>
          <t>Térreo</t>
        </is>
      </c>
      <c r="D84" s="28" t="inlineStr">
        <is>
          <t>B</t>
        </is>
      </c>
      <c r="E84" s="28" t="n">
        <v>109</v>
      </c>
      <c r="F84" s="28" t="inlineStr">
        <is>
          <t>3.9.6</t>
        </is>
      </c>
      <c r="G84" s="28" t="inlineStr">
        <is>
          <t>Terraço 05</t>
        </is>
      </c>
      <c r="H84" s="28" t="inlineStr">
        <is>
          <t>22</t>
        </is>
      </c>
      <c r="I84" s="28" t="inlineStr">
        <is>
          <t>M44AD2</t>
        </is>
      </c>
      <c r="J84" s="29" t="n">
        <v>44.72</v>
      </c>
      <c r="K84" s="29" t="n">
        <v>6.37</v>
      </c>
      <c r="L84" s="30" t="n">
        <v>2</v>
      </c>
      <c r="M84" s="25">
        <f>(J84+K84)*L84</f>
        <v/>
      </c>
      <c r="N84" s="25">
        <f>51.09*L84</f>
        <v/>
      </c>
      <c r="O84" s="25">
        <f>44.72*L84</f>
        <v/>
      </c>
      <c r="P84" s="25">
        <f>6.37*L84</f>
        <v/>
      </c>
      <c r="Q84" s="25" t="n"/>
      <c r="R84" s="25" t="n"/>
      <c r="S84" s="28" t="n">
        <v>1055</v>
      </c>
    </row>
    <row r="85">
      <c r="A85" s="28" t="n">
        <v>84</v>
      </c>
      <c r="B85" s="28" t="inlineStr">
        <is>
          <t>Base</t>
        </is>
      </c>
      <c r="C85" s="28" t="inlineStr">
        <is>
          <t>Térreo</t>
        </is>
      </c>
      <c r="D85" s="28" t="inlineStr">
        <is>
          <t>B</t>
        </is>
      </c>
      <c r="E85" s="28" t="n">
        <v>109</v>
      </c>
      <c r="F85" s="28" t="inlineStr">
        <is>
          <t>3.9.7</t>
        </is>
      </c>
      <c r="G85" s="28" t="inlineStr">
        <is>
          <t>Jardim Privativo 01</t>
        </is>
      </c>
      <c r="H85" s="28" t="inlineStr">
        <is>
          <t>23</t>
        </is>
      </c>
      <c r="I85" s="28" t="inlineStr">
        <is>
          <t>M44AR05</t>
        </is>
      </c>
      <c r="J85" s="29" t="n">
        <v>54.12</v>
      </c>
      <c r="K85" s="29" t="n">
        <v>56.6</v>
      </c>
      <c r="L85" s="30" t="n">
        <v>1</v>
      </c>
      <c r="M85" s="25">
        <f>(J85+K85)*L85</f>
        <v/>
      </c>
      <c r="N85" s="25">
        <f>110.72*L85</f>
        <v/>
      </c>
      <c r="O85" s="25">
        <f>54.12*L85</f>
        <v/>
      </c>
      <c r="P85" s="25">
        <f>56.6*L85</f>
        <v/>
      </c>
      <c r="Q85" s="25" t="n"/>
      <c r="R85" s="25">
        <f>54.12*L85</f>
        <v/>
      </c>
      <c r="S85" s="28" t="n">
        <v>1071</v>
      </c>
    </row>
    <row r="86">
      <c r="A86" s="28" t="n">
        <v>85</v>
      </c>
      <c r="B86" s="28" t="inlineStr">
        <is>
          <t>Base</t>
        </is>
      </c>
      <c r="C86" s="28" t="inlineStr">
        <is>
          <t>Térreo</t>
        </is>
      </c>
      <c r="D86" s="28" t="inlineStr">
        <is>
          <t>B</t>
        </is>
      </c>
      <c r="E86" s="28" t="n">
        <v>109</v>
      </c>
      <c r="F86" s="28" t="inlineStr">
        <is>
          <t>3.9.7</t>
        </is>
      </c>
      <c r="G86" s="28" t="inlineStr">
        <is>
          <t>Jardim Privativo 02</t>
        </is>
      </c>
      <c r="H86" s="28" t="inlineStr">
        <is>
          <t>24</t>
        </is>
      </c>
      <c r="I86" s="28" t="inlineStr">
        <is>
          <t>M44AR05</t>
        </is>
      </c>
      <c r="J86" s="29" t="n">
        <v>53.49</v>
      </c>
      <c r="K86" s="29" t="n">
        <v>56.37</v>
      </c>
      <c r="L86" s="30" t="n">
        <v>1</v>
      </c>
      <c r="M86" s="25">
        <f>(J86+K86)*L86</f>
        <v/>
      </c>
      <c r="N86" s="25">
        <f>109.86*L86</f>
        <v/>
      </c>
      <c r="O86" s="25">
        <f>53.49*L86</f>
        <v/>
      </c>
      <c r="P86" s="25">
        <f>56.37*L86</f>
        <v/>
      </c>
      <c r="Q86" s="25" t="n"/>
      <c r="R86" s="25">
        <f>53.49*L86</f>
        <v/>
      </c>
      <c r="S86" s="28" t="n">
        <v>1087</v>
      </c>
    </row>
    <row r="87">
      <c r="A87" s="28" t="n">
        <v>86</v>
      </c>
      <c r="B87" s="28" t="inlineStr">
        <is>
          <t>Base</t>
        </is>
      </c>
      <c r="C87" s="28" t="inlineStr">
        <is>
          <t>Térreo</t>
        </is>
      </c>
      <c r="D87" s="28" t="inlineStr">
        <is>
          <t>B</t>
        </is>
      </c>
      <c r="E87" s="28" t="n">
        <v>109</v>
      </c>
      <c r="F87" s="28" t="inlineStr">
        <is>
          <t>3.9.7</t>
        </is>
      </c>
      <c r="G87" s="28" t="inlineStr">
        <is>
          <t>Jardim Privativo 03</t>
        </is>
      </c>
      <c r="H87" s="28" t="inlineStr">
        <is>
          <t>25</t>
        </is>
      </c>
      <c r="I87" s="28" t="inlineStr">
        <is>
          <t>M44AR05</t>
        </is>
      </c>
      <c r="J87" s="29" t="n">
        <v>52.72</v>
      </c>
      <c r="K87" s="29" t="n">
        <v>56.06</v>
      </c>
      <c r="L87" s="30" t="n">
        <v>1</v>
      </c>
      <c r="M87" s="25">
        <f>(J87+K87)*L87</f>
        <v/>
      </c>
      <c r="N87" s="25">
        <f>108.78*L87</f>
        <v/>
      </c>
      <c r="O87" s="25">
        <f>52.72*L87</f>
        <v/>
      </c>
      <c r="P87" s="25">
        <f>56.06*L87</f>
        <v/>
      </c>
      <c r="Q87" s="25" t="n"/>
      <c r="R87" s="25">
        <f>52.72*L87</f>
        <v/>
      </c>
      <c r="S87" s="28" t="n">
        <v>1103</v>
      </c>
    </row>
    <row r="88">
      <c r="A88" s="28" t="n">
        <v>87</v>
      </c>
      <c r="B88" s="28" t="inlineStr">
        <is>
          <t>Base</t>
        </is>
      </c>
      <c r="C88" s="28" t="inlineStr">
        <is>
          <t>Térreo</t>
        </is>
      </c>
      <c r="D88" s="28" t="inlineStr">
        <is>
          <t>B</t>
        </is>
      </c>
      <c r="E88" s="28" t="n">
        <v>109</v>
      </c>
      <c r="F88" s="28" t="inlineStr">
        <is>
          <t>3.9.7</t>
        </is>
      </c>
      <c r="G88" s="28" t="inlineStr">
        <is>
          <t>Jardim Privativo 04</t>
        </is>
      </c>
      <c r="H88" s="28" t="inlineStr">
        <is>
          <t>26</t>
        </is>
      </c>
      <c r="I88" s="28" t="inlineStr">
        <is>
          <t>M44AR05</t>
        </is>
      </c>
      <c r="J88" s="29" t="n">
        <v>52.09</v>
      </c>
      <c r="K88" s="29" t="n">
        <v>55.83</v>
      </c>
      <c r="L88" s="30" t="n">
        <v>1</v>
      </c>
      <c r="M88" s="25">
        <f>(J88+K88)*L88</f>
        <v/>
      </c>
      <c r="N88" s="25">
        <f>107.92*L88</f>
        <v/>
      </c>
      <c r="O88" s="25">
        <f>52.09*L88</f>
        <v/>
      </c>
      <c r="P88" s="25">
        <f>55.83*L88</f>
        <v/>
      </c>
      <c r="Q88" s="25" t="n"/>
      <c r="R88" s="25">
        <f>52.09*L88</f>
        <v/>
      </c>
      <c r="S88" s="28" t="n">
        <v>1119</v>
      </c>
    </row>
    <row r="89">
      <c r="A89" s="28" t="n">
        <v>88</v>
      </c>
      <c r="B89" s="28" t="inlineStr">
        <is>
          <t>Base</t>
        </is>
      </c>
      <c r="C89" s="28" t="inlineStr">
        <is>
          <t>Térreo</t>
        </is>
      </c>
      <c r="D89" s="28" t="inlineStr">
        <is>
          <t>B</t>
        </is>
      </c>
      <c r="E89" s="28" t="n">
        <v>109</v>
      </c>
      <c r="F89" s="28" t="inlineStr">
        <is>
          <t>3.9.9</t>
        </is>
      </c>
      <c r="G89" s="28" t="inlineStr">
        <is>
          <t>Caixas de Pluvial / Esgoto</t>
        </is>
      </c>
      <c r="H89" s="28" t="inlineStr">
        <is>
          <t>27</t>
        </is>
      </c>
      <c r="I89" s="28" t="inlineStr">
        <is>
          <t>C4RQD3T</t>
        </is>
      </c>
      <c r="J89" s="29" t="n">
        <v>6.7</v>
      </c>
      <c r="K89" s="29" t="n">
        <v>35.36</v>
      </c>
      <c r="L89" s="30" t="n">
        <v>1</v>
      </c>
      <c r="M89" s="25">
        <f>(J89+K89)*L89</f>
        <v/>
      </c>
      <c r="N89" s="25">
        <f>42.06*L89</f>
        <v/>
      </c>
      <c r="O89" s="25">
        <f>42.06*L89</f>
        <v/>
      </c>
      <c r="P89" s="25" t="n"/>
      <c r="Q89" s="25" t="n"/>
      <c r="R89" s="25" t="n"/>
      <c r="S89" s="28" t="n">
        <v>1136</v>
      </c>
    </row>
    <row r="90">
      <c r="A90" s="28" t="n">
        <v>89</v>
      </c>
      <c r="B90" s="28" t="inlineStr">
        <is>
          <t>Base</t>
        </is>
      </c>
      <c r="C90" s="28" t="inlineStr">
        <is>
          <t>Térreo</t>
        </is>
      </c>
      <c r="D90" s="28" t="inlineStr">
        <is>
          <t>C</t>
        </is>
      </c>
      <c r="E90" s="28" t="n">
        <v>110</v>
      </c>
      <c r="F90" s="28" t="inlineStr">
        <is>
          <t>3.10.1</t>
        </is>
      </c>
      <c r="G90" s="28" t="inlineStr">
        <is>
          <t>Banho 01</t>
        </is>
      </c>
      <c r="H90" s="28" t="inlineStr">
        <is>
          <t>1</t>
        </is>
      </c>
      <c r="I90" s="28" t="inlineStr">
        <is>
          <t>I20EL</t>
        </is>
      </c>
      <c r="J90" s="29" t="n">
        <v>3.66</v>
      </c>
      <c r="K90" s="29" t="n">
        <v>8.140000000000001</v>
      </c>
      <c r="L90" s="30" t="n">
        <v>4</v>
      </c>
      <c r="M90" s="25">
        <f>(J90+K90)*L90</f>
        <v/>
      </c>
      <c r="N90" s="25">
        <f>11.8*L90</f>
        <v/>
      </c>
      <c r="O90" s="25" t="n"/>
      <c r="P90" s="25" t="n"/>
      <c r="Q90" s="25" t="n"/>
      <c r="R90" s="25" t="n"/>
      <c r="S90" s="28" t="n">
        <v>1243</v>
      </c>
    </row>
    <row r="91">
      <c r="A91" s="28" t="n">
        <v>90</v>
      </c>
      <c r="B91" s="28" t="inlineStr">
        <is>
          <t>Base</t>
        </is>
      </c>
      <c r="C91" s="28" t="inlineStr">
        <is>
          <t>Térreo</t>
        </is>
      </c>
      <c r="D91" s="28" t="inlineStr">
        <is>
          <t>C</t>
        </is>
      </c>
      <c r="E91" s="28" t="n">
        <v>110</v>
      </c>
      <c r="F91" s="28" t="inlineStr">
        <is>
          <t>3.10.1</t>
        </is>
      </c>
      <c r="G91" s="28" t="inlineStr">
        <is>
          <t>Banho 02</t>
        </is>
      </c>
      <c r="H91" s="28" t="inlineStr">
        <is>
          <t>2</t>
        </is>
      </c>
      <c r="I91" s="28" t="inlineStr">
        <is>
          <t>I20EL</t>
        </is>
      </c>
      <c r="J91" s="29" t="n">
        <v>3.61</v>
      </c>
      <c r="K91" s="29" t="n">
        <v>8.130000000000001</v>
      </c>
      <c r="L91" s="30" t="n">
        <v>4</v>
      </c>
      <c r="M91" s="25">
        <f>(J91+K91)*L91</f>
        <v/>
      </c>
      <c r="N91" s="25">
        <f>11.74*L91</f>
        <v/>
      </c>
      <c r="O91" s="25" t="n"/>
      <c r="P91" s="25" t="n"/>
      <c r="Q91" s="25" t="n"/>
      <c r="R91" s="25" t="n"/>
      <c r="S91" s="28" t="n">
        <v>1251</v>
      </c>
    </row>
    <row r="92">
      <c r="A92" s="28" t="n">
        <v>91</v>
      </c>
      <c r="B92" s="28" t="inlineStr">
        <is>
          <t>Base</t>
        </is>
      </c>
      <c r="C92" s="28" t="inlineStr">
        <is>
          <t>Térreo</t>
        </is>
      </c>
      <c r="D92" s="28" t="inlineStr">
        <is>
          <t>C</t>
        </is>
      </c>
      <c r="E92" s="28" t="n">
        <v>110</v>
      </c>
      <c r="F92" s="28" t="inlineStr">
        <is>
          <t>3.10.1</t>
        </is>
      </c>
      <c r="G92" s="28" t="inlineStr">
        <is>
          <t>Banho Master</t>
        </is>
      </c>
      <c r="H92" s="28" t="inlineStr">
        <is>
          <t>3</t>
        </is>
      </c>
      <c r="I92" s="28" t="inlineStr">
        <is>
          <t>I20EL</t>
        </is>
      </c>
      <c r="J92" s="29" t="n">
        <v>6.51</v>
      </c>
      <c r="K92" s="29" t="n">
        <v>7.37</v>
      </c>
      <c r="L92" s="30" t="n">
        <v>4</v>
      </c>
      <c r="M92" s="25">
        <f>(J92+K92)*L92</f>
        <v/>
      </c>
      <c r="N92" s="25">
        <f>13.88*L92</f>
        <v/>
      </c>
      <c r="O92" s="25" t="n"/>
      <c r="P92" s="25" t="n"/>
      <c r="Q92" s="25" t="n"/>
      <c r="R92" s="25" t="n"/>
      <c r="S92" s="28" t="n">
        <v>1259</v>
      </c>
    </row>
    <row r="93">
      <c r="A93" s="28" t="n">
        <v>92</v>
      </c>
      <c r="B93" s="28" t="inlineStr">
        <is>
          <t>Base</t>
        </is>
      </c>
      <c r="C93" s="28" t="inlineStr">
        <is>
          <t>Térreo</t>
        </is>
      </c>
      <c r="D93" s="28" t="inlineStr">
        <is>
          <t>C</t>
        </is>
      </c>
      <c r="E93" s="28" t="n">
        <v>110</v>
      </c>
      <c r="F93" s="28" t="inlineStr">
        <is>
          <t>3.10.1</t>
        </is>
      </c>
      <c r="G93" s="28" t="inlineStr">
        <is>
          <t>Banho Serviço</t>
        </is>
      </c>
      <c r="H93" s="28" t="inlineStr">
        <is>
          <t>4</t>
        </is>
      </c>
      <c r="I93" s="28" t="inlineStr">
        <is>
          <t>I20EL</t>
        </is>
      </c>
      <c r="J93" s="29" t="n">
        <v>2.59</v>
      </c>
      <c r="K93" s="29" t="n">
        <v>5.08</v>
      </c>
      <c r="L93" s="30" t="n">
        <v>4</v>
      </c>
      <c r="M93" s="25">
        <f>(J93+K93)*L93</f>
        <v/>
      </c>
      <c r="N93" s="25">
        <f>7.67*L93</f>
        <v/>
      </c>
      <c r="O93" s="25" t="n"/>
      <c r="P93" s="25" t="n"/>
      <c r="Q93" s="25" t="n"/>
      <c r="R93" s="25" t="n"/>
      <c r="S93" s="28" t="n">
        <v>1267</v>
      </c>
    </row>
    <row r="94">
      <c r="A94" s="28" t="n">
        <v>93</v>
      </c>
      <c r="B94" s="28" t="inlineStr">
        <is>
          <t>Base</t>
        </is>
      </c>
      <c r="C94" s="28" t="inlineStr">
        <is>
          <t>Térreo</t>
        </is>
      </c>
      <c r="D94" s="28" t="inlineStr">
        <is>
          <t>C</t>
        </is>
      </c>
      <c r="E94" s="28" t="n">
        <v>110</v>
      </c>
      <c r="F94" s="28" t="inlineStr">
        <is>
          <t>3.10.1</t>
        </is>
      </c>
      <c r="G94" s="28" t="inlineStr">
        <is>
          <t>Lavabo</t>
        </is>
      </c>
      <c r="H94" s="28" t="inlineStr">
        <is>
          <t>5</t>
        </is>
      </c>
      <c r="I94" s="28" t="inlineStr">
        <is>
          <t>I20EL</t>
        </is>
      </c>
      <c r="J94" s="29" t="n">
        <v>2.7</v>
      </c>
      <c r="K94" s="29" t="n">
        <v>1.84</v>
      </c>
      <c r="L94" s="30" t="n">
        <v>4</v>
      </c>
      <c r="M94" s="25">
        <f>(J94+K94)*L94</f>
        <v/>
      </c>
      <c r="N94" s="25">
        <f>4.54*L94</f>
        <v/>
      </c>
      <c r="O94" s="25" t="n"/>
      <c r="P94" s="25" t="n"/>
      <c r="Q94" s="25" t="n"/>
      <c r="R94" s="25" t="n"/>
      <c r="S94" s="28" t="n">
        <v>1275</v>
      </c>
    </row>
    <row r="95">
      <c r="A95" s="28" t="n">
        <v>94</v>
      </c>
      <c r="B95" s="28" t="inlineStr">
        <is>
          <t>Base</t>
        </is>
      </c>
      <c r="C95" s="28" t="inlineStr">
        <is>
          <t>Térreo</t>
        </is>
      </c>
      <c r="D95" s="28" t="inlineStr">
        <is>
          <t>C</t>
        </is>
      </c>
      <c r="E95" s="28" t="n">
        <v>110</v>
      </c>
      <c r="F95" s="28" t="inlineStr">
        <is>
          <t>3.10.1</t>
        </is>
      </c>
      <c r="G95" s="28" t="inlineStr">
        <is>
          <t>Área de Serviço</t>
        </is>
      </c>
      <c r="H95" s="28" t="inlineStr">
        <is>
          <t>6</t>
        </is>
      </c>
      <c r="I95" s="28" t="inlineStr">
        <is>
          <t>I20EL</t>
        </is>
      </c>
      <c r="J95" s="29" t="n">
        <v>3.92</v>
      </c>
      <c r="K95" s="29" t="n">
        <v>2.72</v>
      </c>
      <c r="L95" s="30" t="n">
        <v>4</v>
      </c>
      <c r="M95" s="25">
        <f>(J95+K95)*L95</f>
        <v/>
      </c>
      <c r="N95" s="25">
        <f>6.64*L95</f>
        <v/>
      </c>
      <c r="O95" s="25" t="n"/>
      <c r="P95" s="25" t="n"/>
      <c r="Q95" s="25" t="n"/>
      <c r="R95" s="25" t="n"/>
      <c r="S95" s="28" t="n">
        <v>1283</v>
      </c>
    </row>
    <row r="96">
      <c r="A96" s="28" t="n">
        <v>95</v>
      </c>
      <c r="B96" s="28" t="inlineStr">
        <is>
          <t>Base</t>
        </is>
      </c>
      <c r="C96" s="28" t="inlineStr">
        <is>
          <t>Térreo</t>
        </is>
      </c>
      <c r="D96" s="28" t="inlineStr">
        <is>
          <t>C</t>
        </is>
      </c>
      <c r="E96" s="28" t="n">
        <v>110</v>
      </c>
      <c r="F96" s="28" t="inlineStr">
        <is>
          <t>3.10.1</t>
        </is>
      </c>
      <c r="G96" s="28" t="inlineStr">
        <is>
          <t>Comp. Lixo</t>
        </is>
      </c>
      <c r="H96" s="28" t="inlineStr">
        <is>
          <t>7</t>
        </is>
      </c>
      <c r="I96" s="28" t="inlineStr">
        <is>
          <t>I20EL</t>
        </is>
      </c>
      <c r="J96" s="29" t="n">
        <v>1.09</v>
      </c>
      <c r="K96" s="29" t="n">
        <v>13.66</v>
      </c>
      <c r="L96" s="30" t="n">
        <v>2</v>
      </c>
      <c r="M96" s="25">
        <f>(J96+K96)*L96</f>
        <v/>
      </c>
      <c r="N96" s="25">
        <f>14.75*L96</f>
        <v/>
      </c>
      <c r="O96" s="25" t="n"/>
      <c r="P96" s="25" t="n"/>
      <c r="Q96" s="25" t="n"/>
      <c r="R96" s="25" t="n"/>
      <c r="S96" s="28" t="n">
        <v>1291</v>
      </c>
    </row>
    <row r="97">
      <c r="A97" s="28" t="n">
        <v>96</v>
      </c>
      <c r="B97" s="28" t="inlineStr">
        <is>
          <t>Base</t>
        </is>
      </c>
      <c r="C97" s="28" t="inlineStr">
        <is>
          <t>Térreo</t>
        </is>
      </c>
      <c r="D97" s="28" t="inlineStr">
        <is>
          <t>C</t>
        </is>
      </c>
      <c r="E97" s="28" t="n">
        <v>110</v>
      </c>
      <c r="F97" s="28" t="inlineStr">
        <is>
          <t>3.10.1</t>
        </is>
      </c>
      <c r="G97" s="28" t="inlineStr">
        <is>
          <t>Tubulação Emergente</t>
        </is>
      </c>
      <c r="H97" s="28" t="inlineStr">
        <is>
          <t>8</t>
        </is>
      </c>
      <c r="I97" s="28" t="inlineStr">
        <is>
          <t>I20EL</t>
        </is>
      </c>
      <c r="J97" s="29" t="n">
        <v>0.16</v>
      </c>
      <c r="K97" s="29" t="n">
        <v>0.08</v>
      </c>
      <c r="L97" s="30" t="n">
        <v>4</v>
      </c>
      <c r="M97" s="25">
        <f>(J97+K97)*L97</f>
        <v/>
      </c>
      <c r="N97" s="25">
        <f>0.24*L97</f>
        <v/>
      </c>
      <c r="O97" s="25" t="n"/>
      <c r="P97" s="25" t="n"/>
      <c r="Q97" s="25" t="n"/>
      <c r="R97" s="25" t="n"/>
      <c r="S97" s="28" t="n">
        <v>1299</v>
      </c>
    </row>
    <row r="98">
      <c r="A98" s="28" t="n">
        <v>97</v>
      </c>
      <c r="B98" s="28" t="inlineStr">
        <is>
          <t>Base</t>
        </is>
      </c>
      <c r="C98" s="28" t="inlineStr">
        <is>
          <t>Térreo</t>
        </is>
      </c>
      <c r="D98" s="28" t="inlineStr">
        <is>
          <t>C</t>
        </is>
      </c>
      <c r="E98" s="28" t="n">
        <v>110</v>
      </c>
      <c r="F98" s="28" t="inlineStr">
        <is>
          <t>3.10.2</t>
        </is>
      </c>
      <c r="G98" s="28" t="inlineStr">
        <is>
          <t>Shaft</t>
        </is>
      </c>
      <c r="H98" s="28" t="inlineStr">
        <is>
          <t>9</t>
        </is>
      </c>
      <c r="I98" s="28" t="inlineStr">
        <is>
          <t>I20EL</t>
        </is>
      </c>
      <c r="J98" s="29" t="n">
        <v>0.51</v>
      </c>
      <c r="K98" s="29" t="n">
        <v>0.65</v>
      </c>
      <c r="L98" s="30" t="n">
        <v>4</v>
      </c>
      <c r="M98" s="25">
        <f>(J98+K98)*L98</f>
        <v/>
      </c>
      <c r="N98" s="25">
        <f>1.16*L98</f>
        <v/>
      </c>
      <c r="O98" s="25">
        <f>1.16*L98</f>
        <v/>
      </c>
      <c r="P98" s="25" t="n"/>
      <c r="Q98" s="25" t="n"/>
      <c r="R98" s="25" t="n"/>
      <c r="S98" s="28" t="n">
        <v>1307</v>
      </c>
    </row>
    <row r="99">
      <c r="A99" s="28" t="n">
        <v>98</v>
      </c>
      <c r="B99" s="28" t="inlineStr">
        <is>
          <t>Base</t>
        </is>
      </c>
      <c r="C99" s="28" t="inlineStr">
        <is>
          <t>Térreo</t>
        </is>
      </c>
      <c r="D99" s="28" t="inlineStr">
        <is>
          <t>C</t>
        </is>
      </c>
      <c r="E99" s="28" t="n">
        <v>110</v>
      </c>
      <c r="F99" s="28" t="inlineStr">
        <is>
          <t>3.10.3</t>
        </is>
      </c>
      <c r="G99" s="28" t="inlineStr">
        <is>
          <t>Terraço 01</t>
        </is>
      </c>
      <c r="H99" s="28" t="inlineStr">
        <is>
          <t>10</t>
        </is>
      </c>
      <c r="I99" s="28" t="inlineStr">
        <is>
          <t>I30EL</t>
        </is>
      </c>
      <c r="J99" s="29" t="n">
        <v>16.6</v>
      </c>
      <c r="K99" s="29" t="n">
        <v>3.55</v>
      </c>
      <c r="L99" s="30" t="n">
        <v>1</v>
      </c>
      <c r="M99" s="25">
        <f>(J99+K99)*L99</f>
        <v/>
      </c>
      <c r="N99" s="25">
        <f>20.15*L99</f>
        <v/>
      </c>
      <c r="O99" s="25" t="n"/>
      <c r="P99" s="25" t="n"/>
      <c r="Q99" s="25" t="n"/>
      <c r="R99" s="25" t="n"/>
      <c r="S99" s="28" t="n">
        <v>1318</v>
      </c>
    </row>
    <row r="100">
      <c r="A100" s="28" t="n">
        <v>99</v>
      </c>
      <c r="B100" s="28" t="inlineStr">
        <is>
          <t>Base</t>
        </is>
      </c>
      <c r="C100" s="28" t="inlineStr">
        <is>
          <t>Térreo</t>
        </is>
      </c>
      <c r="D100" s="28" t="inlineStr">
        <is>
          <t>C</t>
        </is>
      </c>
      <c r="E100" s="28" t="n">
        <v>110</v>
      </c>
      <c r="F100" s="28" t="inlineStr">
        <is>
          <t>3.10.3</t>
        </is>
      </c>
      <c r="G100" s="28" t="inlineStr">
        <is>
          <t>Terraço 02</t>
        </is>
      </c>
      <c r="H100" s="28" t="inlineStr">
        <is>
          <t>11</t>
        </is>
      </c>
      <c r="I100" s="28" t="inlineStr">
        <is>
          <t>I30EL</t>
        </is>
      </c>
      <c r="J100" s="29" t="n">
        <v>16.42</v>
      </c>
      <c r="K100" s="29" t="n">
        <v>3.46</v>
      </c>
      <c r="L100" s="30" t="n">
        <v>2</v>
      </c>
      <c r="M100" s="25">
        <f>(J100+K100)*L100</f>
        <v/>
      </c>
      <c r="N100" s="25">
        <f>19.88*L100</f>
        <v/>
      </c>
      <c r="O100" s="25" t="n"/>
      <c r="P100" s="25" t="n"/>
      <c r="Q100" s="25" t="n"/>
      <c r="R100" s="25" t="n"/>
      <c r="S100" s="28" t="n">
        <v>1326</v>
      </c>
    </row>
    <row r="101">
      <c r="A101" s="28" t="n">
        <v>100</v>
      </c>
      <c r="B101" s="28" t="inlineStr">
        <is>
          <t>Base</t>
        </is>
      </c>
      <c r="C101" s="28" t="inlineStr">
        <is>
          <t>Térreo</t>
        </is>
      </c>
      <c r="D101" s="28" t="inlineStr">
        <is>
          <t>C</t>
        </is>
      </c>
      <c r="E101" s="28" t="n">
        <v>110</v>
      </c>
      <c r="F101" s="28" t="inlineStr">
        <is>
          <t>3.10.3</t>
        </is>
      </c>
      <c r="G101" s="28" t="inlineStr">
        <is>
          <t>Terraço 03</t>
        </is>
      </c>
      <c r="H101" s="28" t="inlineStr">
        <is>
          <t>12</t>
        </is>
      </c>
      <c r="I101" s="28" t="inlineStr">
        <is>
          <t>I30EL</t>
        </is>
      </c>
      <c r="J101" s="29" t="n">
        <v>16.58</v>
      </c>
      <c r="K101" s="29" t="n">
        <v>3.55</v>
      </c>
      <c r="L101" s="30" t="n">
        <v>1</v>
      </c>
      <c r="M101" s="25">
        <f>(J101+K101)*L101</f>
        <v/>
      </c>
      <c r="N101" s="25">
        <f>20.13*L101</f>
        <v/>
      </c>
      <c r="O101" s="25" t="n"/>
      <c r="P101" s="25" t="n"/>
      <c r="Q101" s="25" t="n"/>
      <c r="R101" s="25" t="n"/>
      <c r="S101" s="28" t="n">
        <v>1334</v>
      </c>
    </row>
    <row r="102">
      <c r="A102" s="28" t="n">
        <v>101</v>
      </c>
      <c r="B102" s="28" t="inlineStr">
        <is>
          <t>Base</t>
        </is>
      </c>
      <c r="C102" s="28" t="inlineStr">
        <is>
          <t>Térreo</t>
        </is>
      </c>
      <c r="D102" s="28" t="inlineStr">
        <is>
          <t>C</t>
        </is>
      </c>
      <c r="E102" s="28" t="n">
        <v>110</v>
      </c>
      <c r="F102" s="28" t="inlineStr">
        <is>
          <t>3.10.4</t>
        </is>
      </c>
      <c r="G102" s="28" t="inlineStr">
        <is>
          <t>Abas</t>
        </is>
      </c>
      <c r="H102" s="28" t="inlineStr">
        <is>
          <t>13</t>
        </is>
      </c>
      <c r="I102" s="28" t="inlineStr">
        <is>
          <t>I30EL</t>
        </is>
      </c>
      <c r="J102" s="29" t="n">
        <v>17.64</v>
      </c>
      <c r="K102" s="29" t="n">
        <v>32.71</v>
      </c>
      <c r="L102" s="30" t="n">
        <v>1</v>
      </c>
      <c r="M102" s="25">
        <f>(J102+K102)*L102</f>
        <v/>
      </c>
      <c r="N102" s="25">
        <f>50.35*L102</f>
        <v/>
      </c>
      <c r="O102" s="25">
        <f>50.35*L102</f>
        <v/>
      </c>
      <c r="P102" s="25" t="n"/>
      <c r="Q102" s="25" t="n"/>
      <c r="R102" s="25" t="n"/>
      <c r="S102" s="28" t="n">
        <v>1342</v>
      </c>
    </row>
    <row r="103">
      <c r="A103" s="28" t="n">
        <v>102</v>
      </c>
      <c r="B103" s="28" t="inlineStr">
        <is>
          <t>Base</t>
        </is>
      </c>
      <c r="C103" s="28" t="inlineStr">
        <is>
          <t>Térreo</t>
        </is>
      </c>
      <c r="D103" s="28" t="inlineStr">
        <is>
          <t>C</t>
        </is>
      </c>
      <c r="E103" s="28" t="n">
        <v>110</v>
      </c>
      <c r="F103" s="28" t="inlineStr">
        <is>
          <t>3.10.5</t>
        </is>
      </c>
      <c r="G103" s="28" t="inlineStr">
        <is>
          <t>Rampa</t>
        </is>
      </c>
      <c r="H103" s="28" t="inlineStr">
        <is>
          <t>14</t>
        </is>
      </c>
      <c r="I103" s="28" t="inlineStr">
        <is>
          <t>M44A</t>
        </is>
      </c>
      <c r="J103" s="29" t="n">
        <v>11.78</v>
      </c>
      <c r="K103" s="29" t="n">
        <v>3.63</v>
      </c>
      <c r="L103" s="30" t="n">
        <v>1</v>
      </c>
      <c r="M103" s="25">
        <f>(J103+K103)*L103</f>
        <v/>
      </c>
      <c r="N103" s="25">
        <f>15.41*L103</f>
        <v/>
      </c>
      <c r="O103" s="25">
        <f>11.78*L103</f>
        <v/>
      </c>
      <c r="P103" s="25">
        <f>3.63*L103</f>
        <v/>
      </c>
      <c r="Q103" s="25" t="n"/>
      <c r="R103" s="25" t="n"/>
      <c r="S103" s="28" t="n">
        <v>1353</v>
      </c>
    </row>
    <row r="104">
      <c r="A104" s="28" t="n">
        <v>103</v>
      </c>
      <c r="B104" s="28" t="inlineStr">
        <is>
          <t>Base</t>
        </is>
      </c>
      <c r="C104" s="28" t="inlineStr">
        <is>
          <t>Térreo</t>
        </is>
      </c>
      <c r="D104" s="28" t="inlineStr">
        <is>
          <t>C</t>
        </is>
      </c>
      <c r="E104" s="28" t="n">
        <v>110</v>
      </c>
      <c r="F104" s="28" t="inlineStr">
        <is>
          <t>3.10.5</t>
        </is>
      </c>
      <c r="G104" s="28" t="inlineStr">
        <is>
          <t>Escada Social</t>
        </is>
      </c>
      <c r="H104" s="28" t="inlineStr">
        <is>
          <t>15</t>
        </is>
      </c>
      <c r="I104" s="28" t="inlineStr">
        <is>
          <t>M44A</t>
        </is>
      </c>
      <c r="J104" s="29" t="n">
        <v>4.69</v>
      </c>
      <c r="K104" s="29" t="n">
        <v>4.72</v>
      </c>
      <c r="L104" s="30" t="n">
        <v>1</v>
      </c>
      <c r="M104" s="25">
        <f>(J104+K104)*L104</f>
        <v/>
      </c>
      <c r="N104" s="25">
        <f>9.41*L104</f>
        <v/>
      </c>
      <c r="O104" s="25">
        <f>4.69*L104</f>
        <v/>
      </c>
      <c r="P104" s="25">
        <f>4.72*L104</f>
        <v/>
      </c>
      <c r="Q104" s="25" t="n"/>
      <c r="R104" s="25" t="n"/>
      <c r="S104" s="28" t="n">
        <v>1367</v>
      </c>
    </row>
    <row r="105">
      <c r="A105" s="28" t="n">
        <v>104</v>
      </c>
      <c r="B105" s="28" t="inlineStr">
        <is>
          <t>Base</t>
        </is>
      </c>
      <c r="C105" s="28" t="inlineStr">
        <is>
          <t>Térreo</t>
        </is>
      </c>
      <c r="D105" s="28" t="inlineStr">
        <is>
          <t>C</t>
        </is>
      </c>
      <c r="E105" s="28" t="n">
        <v>110</v>
      </c>
      <c r="F105" s="28" t="inlineStr">
        <is>
          <t>3.10.5</t>
        </is>
      </c>
      <c r="G105" s="28" t="inlineStr">
        <is>
          <t>Escada Privativa</t>
        </is>
      </c>
      <c r="H105" s="28" t="inlineStr">
        <is>
          <t>16</t>
        </is>
      </c>
      <c r="I105" s="28" t="inlineStr">
        <is>
          <t>M44A</t>
        </is>
      </c>
      <c r="J105" s="29" t="n">
        <v>2.36</v>
      </c>
      <c r="K105" s="29" t="n">
        <v>3.05</v>
      </c>
      <c r="L105" s="30" t="n">
        <v>4</v>
      </c>
      <c r="M105" s="25">
        <f>(J105+K105)*L105</f>
        <v/>
      </c>
      <c r="N105" s="25">
        <f>5.41*L105</f>
        <v/>
      </c>
      <c r="O105" s="25">
        <f>2.36*L105</f>
        <v/>
      </c>
      <c r="P105" s="25">
        <f>3.05*L105</f>
        <v/>
      </c>
      <c r="Q105" s="25" t="n"/>
      <c r="R105" s="25" t="n"/>
      <c r="S105" s="28" t="n">
        <v>1381</v>
      </c>
    </row>
    <row r="106">
      <c r="A106" s="28" t="n">
        <v>105</v>
      </c>
      <c r="B106" s="28" t="inlineStr">
        <is>
          <t>Base</t>
        </is>
      </c>
      <c r="C106" s="28" t="inlineStr">
        <is>
          <t>Térreo</t>
        </is>
      </c>
      <c r="D106" s="28" t="inlineStr">
        <is>
          <t>C</t>
        </is>
      </c>
      <c r="E106" s="28" t="n">
        <v>110</v>
      </c>
      <c r="F106" s="28" t="inlineStr">
        <is>
          <t>3.10.5</t>
        </is>
      </c>
      <c r="G106" s="28" t="inlineStr">
        <is>
          <t>Acesso Social</t>
        </is>
      </c>
      <c r="H106" s="28" t="inlineStr">
        <is>
          <t>17</t>
        </is>
      </c>
      <c r="I106" s="28" t="inlineStr">
        <is>
          <t>M44A</t>
        </is>
      </c>
      <c r="J106" s="29" t="n">
        <v>12.12</v>
      </c>
      <c r="K106" s="29" t="n">
        <v>7.11</v>
      </c>
      <c r="L106" s="30" t="n">
        <v>1</v>
      </c>
      <c r="M106" s="25">
        <f>(J106+K106)*L106</f>
        <v/>
      </c>
      <c r="N106" s="25">
        <f>19.23*L106</f>
        <v/>
      </c>
      <c r="O106" s="25">
        <f>12.12*L106</f>
        <v/>
      </c>
      <c r="P106" s="25">
        <f>7.11*L106</f>
        <v/>
      </c>
      <c r="Q106" s="25" t="n"/>
      <c r="R106" s="25" t="n"/>
      <c r="S106" s="28" t="n">
        <v>1395</v>
      </c>
    </row>
    <row r="107">
      <c r="A107" s="28" t="n">
        <v>106</v>
      </c>
      <c r="B107" s="28" t="inlineStr">
        <is>
          <t>Base</t>
        </is>
      </c>
      <c r="C107" s="28" t="inlineStr">
        <is>
          <t>Térreo</t>
        </is>
      </c>
      <c r="D107" s="28" t="inlineStr">
        <is>
          <t>C</t>
        </is>
      </c>
      <c r="E107" s="28" t="n">
        <v>110</v>
      </c>
      <c r="F107" s="28" t="inlineStr">
        <is>
          <t>3.10.5</t>
        </is>
      </c>
      <c r="G107" s="28" t="inlineStr">
        <is>
          <t>Acessos Privativos</t>
        </is>
      </c>
      <c r="H107" s="28" t="inlineStr">
        <is>
          <t>18</t>
        </is>
      </c>
      <c r="I107" s="28" t="inlineStr">
        <is>
          <t>M44A</t>
        </is>
      </c>
      <c r="J107" s="29" t="n">
        <v>12.64</v>
      </c>
      <c r="K107" s="29" t="n">
        <v>8.69</v>
      </c>
      <c r="L107" s="30" t="n">
        <v>1</v>
      </c>
      <c r="M107" s="25">
        <f>(J107+K107)*L107</f>
        <v/>
      </c>
      <c r="N107" s="25">
        <f>21.33*L107</f>
        <v/>
      </c>
      <c r="O107" s="25">
        <f>12.64*L107</f>
        <v/>
      </c>
      <c r="P107" s="25">
        <f>8.69*L107</f>
        <v/>
      </c>
      <c r="Q107" s="25" t="n"/>
      <c r="R107" s="25" t="n"/>
      <c r="S107" s="28" t="n">
        <v>1409</v>
      </c>
    </row>
    <row r="108">
      <c r="A108" s="28" t="n">
        <v>107</v>
      </c>
      <c r="B108" s="28" t="inlineStr">
        <is>
          <t>Base</t>
        </is>
      </c>
      <c r="C108" s="28" t="inlineStr">
        <is>
          <t>Térreo</t>
        </is>
      </c>
      <c r="D108" s="28" t="inlineStr">
        <is>
          <t>C</t>
        </is>
      </c>
      <c r="E108" s="28" t="n">
        <v>110</v>
      </c>
      <c r="F108" s="28" t="inlineStr">
        <is>
          <t>3.10.5</t>
        </is>
      </c>
      <c r="G108" s="28" t="inlineStr">
        <is>
          <t>Trocadores de Calor</t>
        </is>
      </c>
      <c r="H108" s="28" t="inlineStr">
        <is>
          <t>19</t>
        </is>
      </c>
      <c r="I108" s="28" t="inlineStr">
        <is>
          <t>M44A</t>
        </is>
      </c>
      <c r="J108" s="29" t="n">
        <v>7.78</v>
      </c>
      <c r="K108" s="29" t="n">
        <v>3.43</v>
      </c>
      <c r="L108" s="30" t="n">
        <v>1</v>
      </c>
      <c r="M108" s="25">
        <f>(J108+K108)*L108</f>
        <v/>
      </c>
      <c r="N108" s="25">
        <f>11.21*L108</f>
        <v/>
      </c>
      <c r="O108" s="25">
        <f>7.78*L108</f>
        <v/>
      </c>
      <c r="P108" s="25">
        <f>3.43*L108</f>
        <v/>
      </c>
      <c r="Q108" s="25" t="n"/>
      <c r="R108" s="25" t="n"/>
      <c r="S108" s="28" t="n">
        <v>1423</v>
      </c>
    </row>
    <row r="109">
      <c r="A109" s="28" t="n">
        <v>108</v>
      </c>
      <c r="B109" s="28" t="inlineStr">
        <is>
          <t>Base</t>
        </is>
      </c>
      <c r="C109" s="28" t="inlineStr">
        <is>
          <t>Térreo</t>
        </is>
      </c>
      <c r="D109" s="28" t="inlineStr">
        <is>
          <t>C</t>
        </is>
      </c>
      <c r="E109" s="28" t="n">
        <v>110</v>
      </c>
      <c r="F109" s="28" t="inlineStr">
        <is>
          <t>3.10.5</t>
        </is>
      </c>
      <c r="G109" s="28" t="inlineStr">
        <is>
          <t>Caixão Perdido</t>
        </is>
      </c>
      <c r="H109" s="28" t="inlineStr">
        <is>
          <t>20</t>
        </is>
      </c>
      <c r="I109" s="28" t="inlineStr">
        <is>
          <t>M44A</t>
        </is>
      </c>
      <c r="J109" s="29" t="n">
        <v>43.39</v>
      </c>
      <c r="K109" s="29" t="n">
        <v>10.33</v>
      </c>
      <c r="L109" s="30" t="n">
        <v>4</v>
      </c>
      <c r="M109" s="25">
        <f>(J109+K109)*L109</f>
        <v/>
      </c>
      <c r="N109" s="25">
        <f>53.72*L109</f>
        <v/>
      </c>
      <c r="O109" s="25">
        <f>43.39*L109</f>
        <v/>
      </c>
      <c r="P109" s="25">
        <f>10.33*L109</f>
        <v/>
      </c>
      <c r="Q109" s="25" t="n"/>
      <c r="R109" s="25" t="n"/>
      <c r="S109" s="28" t="n">
        <v>1437</v>
      </c>
    </row>
    <row r="110">
      <c r="A110" s="28" t="n">
        <v>109</v>
      </c>
      <c r="B110" s="28" t="inlineStr">
        <is>
          <t>Base</t>
        </is>
      </c>
      <c r="C110" s="28" t="inlineStr">
        <is>
          <t>Térreo</t>
        </is>
      </c>
      <c r="D110" s="28" t="inlineStr">
        <is>
          <t>C</t>
        </is>
      </c>
      <c r="E110" s="28" t="n">
        <v>110</v>
      </c>
      <c r="F110" s="28" t="inlineStr">
        <is>
          <t>3.10.5</t>
        </is>
      </c>
      <c r="G110" s="28" t="inlineStr">
        <is>
          <t>Caixão Perdido Lazer</t>
        </is>
      </c>
      <c r="H110" s="28" t="inlineStr">
        <is>
          <t>21</t>
        </is>
      </c>
      <c r="I110" s="28" t="inlineStr">
        <is>
          <t>M44A</t>
        </is>
      </c>
      <c r="J110" s="29" t="n">
        <v>101.14</v>
      </c>
      <c r="K110" s="29" t="n">
        <v>24.22</v>
      </c>
      <c r="L110" s="30" t="n">
        <v>1</v>
      </c>
      <c r="M110" s="25">
        <f>(J110+K110)*L110</f>
        <v/>
      </c>
      <c r="N110" s="25">
        <f>125.36*L110</f>
        <v/>
      </c>
      <c r="O110" s="25">
        <f>101.14*L110</f>
        <v/>
      </c>
      <c r="P110" s="25">
        <f>24.22*L110</f>
        <v/>
      </c>
      <c r="Q110" s="25" t="n"/>
      <c r="R110" s="25" t="n"/>
      <c r="S110" s="28" t="n">
        <v>1451</v>
      </c>
    </row>
    <row r="111">
      <c r="A111" s="28" t="n">
        <v>110</v>
      </c>
      <c r="B111" s="28" t="inlineStr">
        <is>
          <t>Base</t>
        </is>
      </c>
      <c r="C111" s="28" t="inlineStr">
        <is>
          <t>Térreo</t>
        </is>
      </c>
      <c r="D111" s="28" t="inlineStr">
        <is>
          <t>C</t>
        </is>
      </c>
      <c r="E111" s="28" t="n">
        <v>110</v>
      </c>
      <c r="F111" s="28" t="inlineStr">
        <is>
          <t>3.10.5</t>
        </is>
      </c>
      <c r="G111" s="28" t="inlineStr">
        <is>
          <t>Caixão Perdido Vertedouro</t>
        </is>
      </c>
      <c r="H111" s="28" t="inlineStr">
        <is>
          <t>22</t>
        </is>
      </c>
      <c r="I111" s="28" t="inlineStr">
        <is>
          <t>M44A</t>
        </is>
      </c>
      <c r="J111" s="29" t="n">
        <v>9.58</v>
      </c>
      <c r="K111" s="29" t="n">
        <v>11.81</v>
      </c>
      <c r="L111" s="30" t="n">
        <v>1</v>
      </c>
      <c r="M111" s="25">
        <f>(J111+K111)*L111</f>
        <v/>
      </c>
      <c r="N111" s="25">
        <f>21.39*L111</f>
        <v/>
      </c>
      <c r="O111" s="25">
        <f>9.58*L111</f>
        <v/>
      </c>
      <c r="P111" s="25">
        <f>11.81*L111</f>
        <v/>
      </c>
      <c r="Q111" s="25" t="n"/>
      <c r="R111" s="25" t="n"/>
      <c r="S111" s="28" t="n">
        <v>1465</v>
      </c>
    </row>
    <row r="112">
      <c r="A112" s="28" t="n">
        <v>111</v>
      </c>
      <c r="B112" s="28" t="inlineStr">
        <is>
          <t>Base</t>
        </is>
      </c>
      <c r="C112" s="28" t="inlineStr">
        <is>
          <t>Térreo</t>
        </is>
      </c>
      <c r="D112" s="28" t="inlineStr">
        <is>
          <t>C</t>
        </is>
      </c>
      <c r="E112" s="28" t="n">
        <v>110</v>
      </c>
      <c r="F112" s="28" t="inlineStr">
        <is>
          <t>3.10.6</t>
        </is>
      </c>
      <c r="G112" s="28" t="inlineStr">
        <is>
          <t>Parede Ducha</t>
        </is>
      </c>
      <c r="H112" s="28" t="inlineStr">
        <is>
          <t>23</t>
        </is>
      </c>
      <c r="I112" s="28" t="inlineStr">
        <is>
          <t>D2</t>
        </is>
      </c>
      <c r="J112" s="29" t="n">
        <v>0</v>
      </c>
      <c r="K112" s="29" t="n">
        <v>2.77</v>
      </c>
      <c r="L112" s="30" t="n">
        <v>1</v>
      </c>
      <c r="M112" s="25">
        <f>(J112+K112)*L112</f>
        <v/>
      </c>
      <c r="N112" s="25">
        <f>2.77*L112</f>
        <v/>
      </c>
      <c r="O112" s="25" t="n"/>
      <c r="P112" s="25" t="n"/>
      <c r="Q112" s="25" t="n"/>
      <c r="R112" s="25" t="n"/>
      <c r="S112" s="28" t="n">
        <v>1480</v>
      </c>
    </row>
    <row r="113">
      <c r="A113" s="28" t="n">
        <v>112</v>
      </c>
      <c r="B113" s="28" t="inlineStr">
        <is>
          <t>Base</t>
        </is>
      </c>
      <c r="C113" s="28" t="inlineStr">
        <is>
          <t>Térreo</t>
        </is>
      </c>
      <c r="D113" s="28" t="inlineStr">
        <is>
          <t>C</t>
        </is>
      </c>
      <c r="E113" s="28" t="n">
        <v>110</v>
      </c>
      <c r="F113" s="28" t="inlineStr">
        <is>
          <t>3.10.7</t>
        </is>
      </c>
      <c r="G113" s="28" t="inlineStr">
        <is>
          <t>Terraço 04</t>
        </is>
      </c>
      <c r="H113" s="28" t="inlineStr">
        <is>
          <t>24</t>
        </is>
      </c>
      <c r="I113" s="28" t="inlineStr">
        <is>
          <t>M44AD2</t>
        </is>
      </c>
      <c r="J113" s="29" t="n">
        <v>44.89</v>
      </c>
      <c r="K113" s="29" t="n">
        <v>5.89</v>
      </c>
      <c r="L113" s="30" t="n">
        <v>2</v>
      </c>
      <c r="M113" s="25">
        <f>(J113+K113)*L113</f>
        <v/>
      </c>
      <c r="N113" s="25">
        <f>50.78*L113</f>
        <v/>
      </c>
      <c r="O113" s="25">
        <f>44.89*L113</f>
        <v/>
      </c>
      <c r="P113" s="25">
        <f>5.89*L113</f>
        <v/>
      </c>
      <c r="Q113" s="25" t="n"/>
      <c r="R113" s="25" t="n"/>
      <c r="S113" s="28" t="n">
        <v>1489</v>
      </c>
    </row>
    <row r="114">
      <c r="A114" s="28" t="n">
        <v>113</v>
      </c>
      <c r="B114" s="28" t="inlineStr">
        <is>
          <t>Base</t>
        </is>
      </c>
      <c r="C114" s="28" t="inlineStr">
        <is>
          <t>Térreo</t>
        </is>
      </c>
      <c r="D114" s="28" t="inlineStr">
        <is>
          <t>C</t>
        </is>
      </c>
      <c r="E114" s="28" t="n">
        <v>110</v>
      </c>
      <c r="F114" s="28" t="inlineStr">
        <is>
          <t>3.10.7</t>
        </is>
      </c>
      <c r="G114" s="28" t="inlineStr">
        <is>
          <t>Terraço 05</t>
        </is>
      </c>
      <c r="H114" s="28" t="inlineStr">
        <is>
          <t>25</t>
        </is>
      </c>
      <c r="I114" s="28" t="inlineStr">
        <is>
          <t>M44AD2</t>
        </is>
      </c>
      <c r="J114" s="29" t="n">
        <v>44.72</v>
      </c>
      <c r="K114" s="29" t="n">
        <v>6.37</v>
      </c>
      <c r="L114" s="30" t="n">
        <v>2</v>
      </c>
      <c r="M114" s="25">
        <f>(J114+K114)*L114</f>
        <v/>
      </c>
      <c r="N114" s="25">
        <f>51.09*L114</f>
        <v/>
      </c>
      <c r="O114" s="25">
        <f>44.72*L114</f>
        <v/>
      </c>
      <c r="P114" s="25">
        <f>6.37*L114</f>
        <v/>
      </c>
      <c r="Q114" s="25" t="n"/>
      <c r="R114" s="25" t="n"/>
      <c r="S114" s="28" t="n">
        <v>1504</v>
      </c>
    </row>
    <row r="115">
      <c r="A115" s="28" t="n">
        <v>114</v>
      </c>
      <c r="B115" s="28" t="inlineStr">
        <is>
          <t>Base</t>
        </is>
      </c>
      <c r="C115" s="28" t="inlineStr">
        <is>
          <t>Térreo</t>
        </is>
      </c>
      <c r="D115" s="28" t="inlineStr">
        <is>
          <t>C</t>
        </is>
      </c>
      <c r="E115" s="28" t="n">
        <v>110</v>
      </c>
      <c r="F115" s="28" t="inlineStr">
        <is>
          <t>3.10.7</t>
        </is>
      </c>
      <c r="G115" s="28" t="inlineStr">
        <is>
          <t>Lazer</t>
        </is>
      </c>
      <c r="H115" s="28" t="inlineStr">
        <is>
          <t>26</t>
        </is>
      </c>
      <c r="I115" s="28" t="inlineStr">
        <is>
          <t>M44AD2</t>
        </is>
      </c>
      <c r="J115" s="29" t="n">
        <v>101.14</v>
      </c>
      <c r="K115" s="29" t="n">
        <v>24.2</v>
      </c>
      <c r="L115" s="30" t="n">
        <v>1</v>
      </c>
      <c r="M115" s="25">
        <f>(J115+K115)*L115</f>
        <v/>
      </c>
      <c r="N115" s="25">
        <f>125.34*L115</f>
        <v/>
      </c>
      <c r="O115" s="25">
        <f>101.14*L115</f>
        <v/>
      </c>
      <c r="P115" s="25">
        <f>24.2*L115</f>
        <v/>
      </c>
      <c r="Q115" s="25" t="n"/>
      <c r="R115" s="25" t="n"/>
      <c r="S115" s="28" t="n">
        <v>1519</v>
      </c>
    </row>
    <row r="116">
      <c r="A116" s="28" t="n">
        <v>115</v>
      </c>
      <c r="B116" s="28" t="inlineStr">
        <is>
          <t>Base</t>
        </is>
      </c>
      <c r="C116" s="28" t="inlineStr">
        <is>
          <t>Térreo</t>
        </is>
      </c>
      <c r="D116" s="28" t="inlineStr">
        <is>
          <t>C</t>
        </is>
      </c>
      <c r="E116" s="28" t="n">
        <v>110</v>
      </c>
      <c r="F116" s="28" t="inlineStr">
        <is>
          <t>3.10.8</t>
        </is>
      </c>
      <c r="G116" s="28" t="inlineStr">
        <is>
          <t>Vertedouro</t>
        </is>
      </c>
      <c r="H116" s="28" t="inlineStr">
        <is>
          <t>27</t>
        </is>
      </c>
      <c r="I116" s="28" t="inlineStr">
        <is>
          <t>M44AD2</t>
        </is>
      </c>
      <c r="J116" s="29" t="n">
        <v>9.58</v>
      </c>
      <c r="K116" s="29" t="n">
        <v>23.25</v>
      </c>
      <c r="L116" s="30" t="n">
        <v>1</v>
      </c>
      <c r="M116" s="25">
        <f>(J116+K116)*L116</f>
        <v/>
      </c>
      <c r="N116" s="25">
        <f>32.83*L116</f>
        <v/>
      </c>
      <c r="O116" s="25">
        <f>9.58*L116</f>
        <v/>
      </c>
      <c r="P116" s="25">
        <f>23.25*L116</f>
        <v/>
      </c>
      <c r="Q116" s="25" t="n"/>
      <c r="R116" s="25" t="n"/>
      <c r="S116" s="28" t="n">
        <v>1535</v>
      </c>
    </row>
    <row r="117">
      <c r="A117" s="28" t="n">
        <v>116</v>
      </c>
      <c r="B117" s="28" t="inlineStr">
        <is>
          <t>Base</t>
        </is>
      </c>
      <c r="C117" s="28" t="inlineStr">
        <is>
          <t>Térreo</t>
        </is>
      </c>
      <c r="D117" s="28" t="inlineStr">
        <is>
          <t>C</t>
        </is>
      </c>
      <c r="E117" s="28" t="n">
        <v>110</v>
      </c>
      <c r="F117" s="28" t="inlineStr">
        <is>
          <t>3.10.9</t>
        </is>
      </c>
      <c r="G117" s="28" t="inlineStr">
        <is>
          <t>Piscina Raia</t>
        </is>
      </c>
      <c r="H117" s="28" t="inlineStr">
        <is>
          <t>28</t>
        </is>
      </c>
      <c r="I117" s="28" t="inlineStr">
        <is>
          <t>M34AM44AD2</t>
        </is>
      </c>
      <c r="J117" s="29" t="n">
        <v>70.68000000000001</v>
      </c>
      <c r="K117" s="29" t="n">
        <v>101.26</v>
      </c>
      <c r="L117" s="30" t="n">
        <v>1</v>
      </c>
      <c r="M117" s="25">
        <f>(J117+K117)*L117</f>
        <v/>
      </c>
      <c r="N117" s="25">
        <f>171.94*L117</f>
        <v/>
      </c>
      <c r="O117" s="25">
        <f>70.68*L117</f>
        <v/>
      </c>
      <c r="P117" s="25">
        <f>101.26*L117</f>
        <v/>
      </c>
      <c r="Q117" s="25" t="n"/>
      <c r="R117" s="25" t="n"/>
      <c r="S117" s="28" t="n">
        <v>1552</v>
      </c>
    </row>
    <row r="118">
      <c r="A118" s="28" t="n">
        <v>117</v>
      </c>
      <c r="B118" s="28" t="inlineStr">
        <is>
          <t>Base</t>
        </is>
      </c>
      <c r="C118" s="28" t="inlineStr">
        <is>
          <t>Térreo</t>
        </is>
      </c>
      <c r="D118" s="28" t="inlineStr">
        <is>
          <t>C</t>
        </is>
      </c>
      <c r="E118" s="28" t="n">
        <v>110</v>
      </c>
      <c r="F118" s="28" t="inlineStr">
        <is>
          <t>3.10.10</t>
        </is>
      </c>
      <c r="G118" s="28" t="inlineStr">
        <is>
          <t>Jardim Privativo 01</t>
        </is>
      </c>
      <c r="H118" s="28" t="inlineStr">
        <is>
          <t>29</t>
        </is>
      </c>
      <c r="I118" s="28" t="inlineStr">
        <is>
          <t>M44AR05</t>
        </is>
      </c>
      <c r="J118" s="29" t="n">
        <v>51.13</v>
      </c>
      <c r="K118" s="29" t="n">
        <v>55.48</v>
      </c>
      <c r="L118" s="30" t="n">
        <v>1</v>
      </c>
      <c r="M118" s="25">
        <f>(J118+K118)*L118</f>
        <v/>
      </c>
      <c r="N118" s="25">
        <f>106.61*L118</f>
        <v/>
      </c>
      <c r="O118" s="25">
        <f>51.13*L118</f>
        <v/>
      </c>
      <c r="P118" s="25">
        <f>55.48*L118</f>
        <v/>
      </c>
      <c r="Q118" s="25" t="n"/>
      <c r="R118" s="25">
        <f>51.13*L118</f>
        <v/>
      </c>
      <c r="S118" s="28" t="n">
        <v>1571</v>
      </c>
    </row>
    <row r="119">
      <c r="A119" s="28" t="n">
        <v>118</v>
      </c>
      <c r="B119" s="28" t="inlineStr">
        <is>
          <t>Base</t>
        </is>
      </c>
      <c r="C119" s="28" t="inlineStr">
        <is>
          <t>Térreo</t>
        </is>
      </c>
      <c r="D119" s="28" t="inlineStr">
        <is>
          <t>C</t>
        </is>
      </c>
      <c r="E119" s="28" t="n">
        <v>110</v>
      </c>
      <c r="F119" s="28" t="inlineStr">
        <is>
          <t>3.10.10</t>
        </is>
      </c>
      <c r="G119" s="28" t="inlineStr">
        <is>
          <t>Jardim Privativo 02</t>
        </is>
      </c>
      <c r="H119" s="28" t="inlineStr">
        <is>
          <t>30</t>
        </is>
      </c>
      <c r="I119" s="28" t="inlineStr">
        <is>
          <t>M44AR05</t>
        </is>
      </c>
      <c r="J119" s="29" t="n">
        <v>50.51</v>
      </c>
      <c r="K119" s="29" t="n">
        <v>55.24</v>
      </c>
      <c r="L119" s="30" t="n">
        <v>1</v>
      </c>
      <c r="M119" s="25">
        <f>(J119+K119)*L119</f>
        <v/>
      </c>
      <c r="N119" s="25">
        <f>105.75*L119</f>
        <v/>
      </c>
      <c r="O119" s="25">
        <f>50.51*L119</f>
        <v/>
      </c>
      <c r="P119" s="25">
        <f>55.24*L119</f>
        <v/>
      </c>
      <c r="Q119" s="25" t="n"/>
      <c r="R119" s="25">
        <f>50.51*L119</f>
        <v/>
      </c>
      <c r="S119" s="28" t="n">
        <v>1587</v>
      </c>
    </row>
    <row r="120">
      <c r="A120" s="28" t="n">
        <v>119</v>
      </c>
      <c r="B120" s="28" t="inlineStr">
        <is>
          <t>Base</t>
        </is>
      </c>
      <c r="C120" s="28" t="inlineStr">
        <is>
          <t>Térreo</t>
        </is>
      </c>
      <c r="D120" s="28" t="inlineStr">
        <is>
          <t>C</t>
        </is>
      </c>
      <c r="E120" s="28" t="n">
        <v>110</v>
      </c>
      <c r="F120" s="28" t="inlineStr">
        <is>
          <t>3.10.10</t>
        </is>
      </c>
      <c r="G120" s="28" t="inlineStr">
        <is>
          <t>Jardim Privativo 03</t>
        </is>
      </c>
      <c r="H120" s="28" t="inlineStr">
        <is>
          <t>31</t>
        </is>
      </c>
      <c r="I120" s="28" t="inlineStr">
        <is>
          <t>M44AR05</t>
        </is>
      </c>
      <c r="J120" s="29" t="n">
        <v>49.74</v>
      </c>
      <c r="K120" s="29" t="n">
        <v>54.94</v>
      </c>
      <c r="L120" s="30" t="n">
        <v>1</v>
      </c>
      <c r="M120" s="25">
        <f>(J120+K120)*L120</f>
        <v/>
      </c>
      <c r="N120" s="25">
        <f>104.68*L120</f>
        <v/>
      </c>
      <c r="O120" s="25">
        <f>49.74*L120</f>
        <v/>
      </c>
      <c r="P120" s="25">
        <f>54.94*L120</f>
        <v/>
      </c>
      <c r="Q120" s="25" t="n"/>
      <c r="R120" s="25">
        <f>49.74*L120</f>
        <v/>
      </c>
      <c r="S120" s="28" t="n">
        <v>1603</v>
      </c>
    </row>
    <row r="121">
      <c r="A121" s="28" t="n">
        <v>120</v>
      </c>
      <c r="B121" s="28" t="inlineStr">
        <is>
          <t>Base</t>
        </is>
      </c>
      <c r="C121" s="28" t="inlineStr">
        <is>
          <t>Térreo</t>
        </is>
      </c>
      <c r="D121" s="28" t="inlineStr">
        <is>
          <t>C</t>
        </is>
      </c>
      <c r="E121" s="28" t="n">
        <v>110</v>
      </c>
      <c r="F121" s="28" t="inlineStr">
        <is>
          <t>3.10.10</t>
        </is>
      </c>
      <c r="G121" s="28" t="inlineStr">
        <is>
          <t>Jardim Privativo 04</t>
        </is>
      </c>
      <c r="H121" s="28" t="inlineStr">
        <is>
          <t>32</t>
        </is>
      </c>
      <c r="I121" s="28" t="inlineStr">
        <is>
          <t>M44AR05</t>
        </is>
      </c>
      <c r="J121" s="29" t="n">
        <v>49.12</v>
      </c>
      <c r="K121" s="29" t="n">
        <v>54.72</v>
      </c>
      <c r="L121" s="30" t="n">
        <v>1</v>
      </c>
      <c r="M121" s="25">
        <f>(J121+K121)*L121</f>
        <v/>
      </c>
      <c r="N121" s="25">
        <f>103.84*L121</f>
        <v/>
      </c>
      <c r="O121" s="25">
        <f>49.12*L121</f>
        <v/>
      </c>
      <c r="P121" s="25">
        <f>54.72*L121</f>
        <v/>
      </c>
      <c r="Q121" s="25" t="n"/>
      <c r="R121" s="25">
        <f>49.12*L121</f>
        <v/>
      </c>
      <c r="S121" s="28" t="n">
        <v>1619</v>
      </c>
    </row>
    <row r="122">
      <c r="A122" s="28" t="n">
        <v>121</v>
      </c>
      <c r="B122" s="28" t="inlineStr">
        <is>
          <t>Base</t>
        </is>
      </c>
      <c r="C122" s="28" t="inlineStr">
        <is>
          <t>Térreo</t>
        </is>
      </c>
      <c r="D122" s="28" t="inlineStr">
        <is>
          <t>C</t>
        </is>
      </c>
      <c r="E122" s="28" t="n">
        <v>110</v>
      </c>
      <c r="F122" s="28" t="inlineStr">
        <is>
          <t>3.10.10</t>
        </is>
      </c>
      <c r="G122" s="28" t="inlineStr">
        <is>
          <t>Jardins Externos</t>
        </is>
      </c>
      <c r="H122" s="28" t="inlineStr">
        <is>
          <t>33</t>
        </is>
      </c>
      <c r="I122" s="28" t="inlineStr">
        <is>
          <t>M44AR05</t>
        </is>
      </c>
      <c r="J122" s="29" t="n">
        <v>41.52</v>
      </c>
      <c r="K122" s="29" t="n">
        <v>108.18</v>
      </c>
      <c r="L122" s="30" t="n">
        <v>1</v>
      </c>
      <c r="M122" s="25">
        <f>(J122+K122)*L122</f>
        <v/>
      </c>
      <c r="N122" s="25">
        <f>149.7*L122</f>
        <v/>
      </c>
      <c r="O122" s="25">
        <f>41.52*L122</f>
        <v/>
      </c>
      <c r="P122" s="25">
        <f>108.18*L122</f>
        <v/>
      </c>
      <c r="Q122" s="25" t="n"/>
      <c r="R122" s="25">
        <f>41.52*L122</f>
        <v/>
      </c>
      <c r="S122" s="28" t="n">
        <v>1635</v>
      </c>
    </row>
    <row r="123">
      <c r="A123" s="28" t="n">
        <v>122</v>
      </c>
      <c r="B123" s="28" t="inlineStr">
        <is>
          <t>Base</t>
        </is>
      </c>
      <c r="C123" s="28" t="inlineStr">
        <is>
          <t>Térreo</t>
        </is>
      </c>
      <c r="D123" s="28" t="inlineStr">
        <is>
          <t>C</t>
        </is>
      </c>
      <c r="E123" s="28" t="n">
        <v>110</v>
      </c>
      <c r="F123" s="28" t="inlineStr">
        <is>
          <t>3.10.10</t>
        </is>
      </c>
      <c r="G123" s="28" t="inlineStr">
        <is>
          <t>Acesso Câmara Transformadora</t>
        </is>
      </c>
      <c r="H123" s="28" t="inlineStr">
        <is>
          <t>34</t>
        </is>
      </c>
      <c r="I123" s="28" t="inlineStr">
        <is>
          <t>M44AR05</t>
        </is>
      </c>
      <c r="J123" s="29" t="n">
        <v>10.37</v>
      </c>
      <c r="K123" s="29" t="n">
        <v>9.99</v>
      </c>
      <c r="L123" s="30" t="n">
        <v>1</v>
      </c>
      <c r="M123" s="25">
        <f>(J123+K123)*L123</f>
        <v/>
      </c>
      <c r="N123" s="25">
        <f>20.36*L123</f>
        <v/>
      </c>
      <c r="O123" s="25">
        <f>10.37*L123</f>
        <v/>
      </c>
      <c r="P123" s="25">
        <f>9.99*L123</f>
        <v/>
      </c>
      <c r="Q123" s="25" t="n"/>
      <c r="R123" s="25">
        <f>10.37*L123</f>
        <v/>
      </c>
      <c r="S123" s="28" t="n">
        <v>1651</v>
      </c>
    </row>
    <row r="124">
      <c r="A124" s="28" t="n">
        <v>123</v>
      </c>
      <c r="B124" s="28" t="inlineStr">
        <is>
          <t>Base</t>
        </is>
      </c>
      <c r="C124" s="28" t="inlineStr">
        <is>
          <t>Térreo</t>
        </is>
      </c>
      <c r="D124" s="28" t="inlineStr">
        <is>
          <t>C</t>
        </is>
      </c>
      <c r="E124" s="28" t="n">
        <v>110</v>
      </c>
      <c r="F124" s="28" t="inlineStr">
        <is>
          <t>3.10.11</t>
        </is>
      </c>
      <c r="G124" s="28" t="inlineStr">
        <is>
          <t>Caixas de Pluvial / Esgoto</t>
        </is>
      </c>
      <c r="H124" s="28" t="inlineStr">
        <is>
          <t>35</t>
        </is>
      </c>
      <c r="I124" s="28" t="inlineStr">
        <is>
          <t>C4RQD3T</t>
        </is>
      </c>
      <c r="J124" s="29" t="n">
        <v>9.119999999999999</v>
      </c>
      <c r="K124" s="29" t="n">
        <v>46.26</v>
      </c>
      <c r="L124" s="30" t="n">
        <v>1</v>
      </c>
      <c r="M124" s="25">
        <f>(J124+K124)*L124</f>
        <v/>
      </c>
      <c r="N124" s="25">
        <f>55.38*L124</f>
        <v/>
      </c>
      <c r="O124" s="25">
        <f>55.38*L124</f>
        <v/>
      </c>
      <c r="P124" s="25" t="n"/>
      <c r="Q124" s="25" t="n"/>
      <c r="R124" s="25" t="n"/>
      <c r="S124" s="28" t="n">
        <v>1668</v>
      </c>
    </row>
    <row r="125">
      <c r="A125" s="28" t="n">
        <v>124</v>
      </c>
      <c r="B125" s="28" t="inlineStr">
        <is>
          <t>Base</t>
        </is>
      </c>
      <c r="C125" s="28" t="inlineStr">
        <is>
          <t>1º Pavimento</t>
        </is>
      </c>
      <c r="D125" s="28" t="inlineStr">
        <is>
          <t>A</t>
        </is>
      </c>
      <c r="E125" s="28" t="n">
        <v>111</v>
      </c>
      <c r="F125" s="28" t="inlineStr">
        <is>
          <t>3.11.1</t>
        </is>
      </c>
      <c r="G125" s="28" t="inlineStr">
        <is>
          <t>Banho 01</t>
        </is>
      </c>
      <c r="H125" s="28" t="inlineStr">
        <is>
          <t>1</t>
        </is>
      </c>
      <c r="I125" s="28" t="inlineStr">
        <is>
          <t>I20EL</t>
        </is>
      </c>
      <c r="J125" s="29" t="n">
        <v>3.66</v>
      </c>
      <c r="K125" s="29" t="n">
        <v>8.140000000000001</v>
      </c>
      <c r="L125" s="30" t="n">
        <v>5</v>
      </c>
      <c r="M125" s="25">
        <f>(J125+K125)*L125</f>
        <v/>
      </c>
      <c r="N125" s="25">
        <f>11.8*L125</f>
        <v/>
      </c>
      <c r="O125" s="25" t="n"/>
      <c r="P125" s="25" t="n"/>
      <c r="Q125" s="25" t="n"/>
      <c r="R125" s="25" t="n"/>
      <c r="S125" s="28" t="n">
        <v>1774</v>
      </c>
    </row>
    <row r="126">
      <c r="A126" s="28" t="n">
        <v>125</v>
      </c>
      <c r="B126" s="28" t="inlineStr">
        <is>
          <t>Base</t>
        </is>
      </c>
      <c r="C126" s="28" t="inlineStr">
        <is>
          <t>1º Pavimento</t>
        </is>
      </c>
      <c r="D126" s="28" t="inlineStr">
        <is>
          <t>A</t>
        </is>
      </c>
      <c r="E126" s="28" t="n">
        <v>111</v>
      </c>
      <c r="F126" s="28" t="inlineStr">
        <is>
          <t>3.11.1</t>
        </is>
      </c>
      <c r="G126" s="28" t="inlineStr">
        <is>
          <t>Banho 02</t>
        </is>
      </c>
      <c r="H126" s="28" t="inlineStr">
        <is>
          <t>2</t>
        </is>
      </c>
      <c r="I126" s="28" t="inlineStr">
        <is>
          <t>I20EL</t>
        </is>
      </c>
      <c r="J126" s="29" t="n">
        <v>3.61</v>
      </c>
      <c r="K126" s="29" t="n">
        <v>8.130000000000001</v>
      </c>
      <c r="L126" s="30" t="n">
        <v>5</v>
      </c>
      <c r="M126" s="25">
        <f>(J126+K126)*L126</f>
        <v/>
      </c>
      <c r="N126" s="25">
        <f>11.74*L126</f>
        <v/>
      </c>
      <c r="O126" s="25" t="n"/>
      <c r="P126" s="25" t="n"/>
      <c r="Q126" s="25" t="n"/>
      <c r="R126" s="25" t="n"/>
      <c r="S126" s="28" t="n">
        <v>1782</v>
      </c>
    </row>
    <row r="127">
      <c r="A127" s="28" t="n">
        <v>126</v>
      </c>
      <c r="B127" s="28" t="inlineStr">
        <is>
          <t>Base</t>
        </is>
      </c>
      <c r="C127" s="28" t="inlineStr">
        <is>
          <t>1º Pavimento</t>
        </is>
      </c>
      <c r="D127" s="28" t="inlineStr">
        <is>
          <t>A</t>
        </is>
      </c>
      <c r="E127" s="28" t="n">
        <v>111</v>
      </c>
      <c r="F127" s="28" t="inlineStr">
        <is>
          <t>3.11.1</t>
        </is>
      </c>
      <c r="G127" s="28" t="inlineStr">
        <is>
          <t>Banho Master</t>
        </is>
      </c>
      <c r="H127" s="28" t="inlineStr">
        <is>
          <t>3</t>
        </is>
      </c>
      <c r="I127" s="28" t="inlineStr">
        <is>
          <t>I20EL</t>
        </is>
      </c>
      <c r="J127" s="29" t="n">
        <v>6.51</v>
      </c>
      <c r="K127" s="29" t="n">
        <v>7.37</v>
      </c>
      <c r="L127" s="30" t="n">
        <v>5</v>
      </c>
      <c r="M127" s="25">
        <f>(J127+K127)*L127</f>
        <v/>
      </c>
      <c r="N127" s="25">
        <f>13.88*L127</f>
        <v/>
      </c>
      <c r="O127" s="25" t="n"/>
      <c r="P127" s="25" t="n"/>
      <c r="Q127" s="25" t="n"/>
      <c r="R127" s="25" t="n"/>
      <c r="S127" s="28" t="n">
        <v>1790</v>
      </c>
    </row>
    <row r="128">
      <c r="A128" s="28" t="n">
        <v>127</v>
      </c>
      <c r="B128" s="28" t="inlineStr">
        <is>
          <t>Base</t>
        </is>
      </c>
      <c r="C128" s="28" t="inlineStr">
        <is>
          <t>1º Pavimento</t>
        </is>
      </c>
      <c r="D128" s="28" t="inlineStr">
        <is>
          <t>A</t>
        </is>
      </c>
      <c r="E128" s="28" t="n">
        <v>111</v>
      </c>
      <c r="F128" s="28" t="inlineStr">
        <is>
          <t>3.11.1</t>
        </is>
      </c>
      <c r="G128" s="28" t="inlineStr">
        <is>
          <t>Banho Serviço</t>
        </is>
      </c>
      <c r="H128" s="28" t="inlineStr">
        <is>
          <t>4</t>
        </is>
      </c>
      <c r="I128" s="28" t="inlineStr">
        <is>
          <t>I20EL</t>
        </is>
      </c>
      <c r="J128" s="29" t="n">
        <v>2.44</v>
      </c>
      <c r="K128" s="29" t="n">
        <v>5.01</v>
      </c>
      <c r="L128" s="30" t="n">
        <v>5</v>
      </c>
      <c r="M128" s="25">
        <f>(J128+K128)*L128</f>
        <v/>
      </c>
      <c r="N128" s="25">
        <f>7.45*L128</f>
        <v/>
      </c>
      <c r="O128" s="25" t="n"/>
      <c r="P128" s="25" t="n"/>
      <c r="Q128" s="25" t="n"/>
      <c r="R128" s="25" t="n"/>
      <c r="S128" s="28" t="n">
        <v>1798</v>
      </c>
    </row>
    <row r="129">
      <c r="A129" s="28" t="n">
        <v>128</v>
      </c>
      <c r="B129" s="28" t="inlineStr">
        <is>
          <t>Base</t>
        </is>
      </c>
      <c r="C129" s="28" t="inlineStr">
        <is>
          <t>1º Pavimento</t>
        </is>
      </c>
      <c r="D129" s="28" t="inlineStr">
        <is>
          <t>A</t>
        </is>
      </c>
      <c r="E129" s="28" t="n">
        <v>111</v>
      </c>
      <c r="F129" s="28" t="inlineStr">
        <is>
          <t>3.11.1</t>
        </is>
      </c>
      <c r="G129" s="28" t="inlineStr">
        <is>
          <t>Lavabo</t>
        </is>
      </c>
      <c r="H129" s="28" t="inlineStr">
        <is>
          <t>5</t>
        </is>
      </c>
      <c r="I129" s="28" t="inlineStr">
        <is>
          <t>I20EL</t>
        </is>
      </c>
      <c r="J129" s="29" t="n">
        <v>2.65</v>
      </c>
      <c r="K129" s="29" t="n">
        <v>1.84</v>
      </c>
      <c r="L129" s="30" t="n">
        <v>5</v>
      </c>
      <c r="M129" s="25">
        <f>(J129+K129)*L129</f>
        <v/>
      </c>
      <c r="N129" s="25">
        <f>4.49*L129</f>
        <v/>
      </c>
      <c r="O129" s="25" t="n"/>
      <c r="P129" s="25" t="n"/>
      <c r="Q129" s="25" t="n"/>
      <c r="R129" s="25" t="n"/>
      <c r="S129" s="28" t="n">
        <v>1806</v>
      </c>
    </row>
    <row r="130">
      <c r="A130" s="28" t="n">
        <v>129</v>
      </c>
      <c r="B130" s="28" t="inlineStr">
        <is>
          <t>Base</t>
        </is>
      </c>
      <c r="C130" s="28" t="inlineStr">
        <is>
          <t>1º Pavimento</t>
        </is>
      </c>
      <c r="D130" s="28" t="inlineStr">
        <is>
          <t>A</t>
        </is>
      </c>
      <c r="E130" s="28" t="n">
        <v>111</v>
      </c>
      <c r="F130" s="28" t="inlineStr">
        <is>
          <t>3.11.1</t>
        </is>
      </c>
      <c r="G130" s="28" t="inlineStr">
        <is>
          <t>Área de Serviço</t>
        </is>
      </c>
      <c r="H130" s="28" t="inlineStr">
        <is>
          <t>6</t>
        </is>
      </c>
      <c r="I130" s="28" t="inlineStr">
        <is>
          <t>I20EL</t>
        </is>
      </c>
      <c r="J130" s="29" t="n">
        <v>3.45</v>
      </c>
      <c r="K130" s="29" t="n">
        <v>2.1</v>
      </c>
      <c r="L130" s="30" t="n">
        <v>5</v>
      </c>
      <c r="M130" s="25">
        <f>(J130+K130)*L130</f>
        <v/>
      </c>
      <c r="N130" s="25">
        <f>5.55*L130</f>
        <v/>
      </c>
      <c r="O130" s="25" t="n"/>
      <c r="P130" s="25" t="n"/>
      <c r="Q130" s="25" t="n"/>
      <c r="R130" s="25" t="n"/>
      <c r="S130" s="28" t="n">
        <v>1814</v>
      </c>
    </row>
    <row r="131">
      <c r="A131" s="28" t="n">
        <v>130</v>
      </c>
      <c r="B131" s="28" t="inlineStr">
        <is>
          <t>Base</t>
        </is>
      </c>
      <c r="C131" s="28" t="inlineStr">
        <is>
          <t>1º Pavimento</t>
        </is>
      </c>
      <c r="D131" s="28" t="inlineStr">
        <is>
          <t>A</t>
        </is>
      </c>
      <c r="E131" s="28" t="n">
        <v>111</v>
      </c>
      <c r="F131" s="28" t="inlineStr">
        <is>
          <t>3.11.1</t>
        </is>
      </c>
      <c r="G131" s="28" t="inlineStr">
        <is>
          <t>Lixo</t>
        </is>
      </c>
      <c r="H131" s="28" t="inlineStr">
        <is>
          <t>7</t>
        </is>
      </c>
      <c r="I131" s="28" t="inlineStr">
        <is>
          <t>I20EL</t>
        </is>
      </c>
      <c r="J131" s="29" t="n">
        <v>0.78</v>
      </c>
      <c r="K131" s="29" t="n">
        <v>12.32</v>
      </c>
      <c r="L131" s="30" t="n">
        <v>1</v>
      </c>
      <c r="M131" s="25">
        <f>(J131+K131)*L131</f>
        <v/>
      </c>
      <c r="N131" s="25">
        <f>13.1*L131</f>
        <v/>
      </c>
      <c r="O131" s="25" t="n"/>
      <c r="P131" s="25" t="n"/>
      <c r="Q131" s="25" t="n"/>
      <c r="R131" s="25" t="n"/>
      <c r="S131" s="28" t="n">
        <v>1822</v>
      </c>
    </row>
    <row r="132">
      <c r="A132" s="28" t="n">
        <v>131</v>
      </c>
      <c r="B132" s="28" t="inlineStr">
        <is>
          <t>Base</t>
        </is>
      </c>
      <c r="C132" s="28" t="inlineStr">
        <is>
          <t>1º Pavimento</t>
        </is>
      </c>
      <c r="D132" s="28" t="inlineStr">
        <is>
          <t>A</t>
        </is>
      </c>
      <c r="E132" s="28" t="n">
        <v>111</v>
      </c>
      <c r="F132" s="28" t="inlineStr">
        <is>
          <t>3.11.1</t>
        </is>
      </c>
      <c r="G132" s="28" t="inlineStr">
        <is>
          <t>Comp. Lixo</t>
        </is>
      </c>
      <c r="H132" s="28" t="inlineStr">
        <is>
          <t>8</t>
        </is>
      </c>
      <c r="I132" s="28" t="inlineStr">
        <is>
          <t>I20EL</t>
        </is>
      </c>
      <c r="J132" s="29" t="n">
        <v>1.09</v>
      </c>
      <c r="K132" s="29" t="n">
        <v>13.66</v>
      </c>
      <c r="L132" s="30" t="n">
        <v>2</v>
      </c>
      <c r="M132" s="25">
        <f>(J132+K132)*L132</f>
        <v/>
      </c>
      <c r="N132" s="25">
        <f>14.75*L132</f>
        <v/>
      </c>
      <c r="O132" s="25" t="n"/>
      <c r="P132" s="25" t="n"/>
      <c r="Q132" s="25" t="n"/>
      <c r="R132" s="25" t="n"/>
      <c r="S132" s="28" t="n">
        <v>1830</v>
      </c>
    </row>
    <row r="133">
      <c r="A133" s="28" t="n">
        <v>132</v>
      </c>
      <c r="B133" s="28" t="inlineStr">
        <is>
          <t>Base</t>
        </is>
      </c>
      <c r="C133" s="28" t="inlineStr">
        <is>
          <t>1º Pavimento</t>
        </is>
      </c>
      <c r="D133" s="28" t="inlineStr">
        <is>
          <t>A</t>
        </is>
      </c>
      <c r="E133" s="28" t="n">
        <v>111</v>
      </c>
      <c r="F133" s="28" t="inlineStr">
        <is>
          <t>3.11.1</t>
        </is>
      </c>
      <c r="G133" s="28" t="inlineStr">
        <is>
          <t>Tubulação Emergente</t>
        </is>
      </c>
      <c r="H133" s="28" t="inlineStr">
        <is>
          <t>9</t>
        </is>
      </c>
      <c r="I133" s="28" t="inlineStr">
        <is>
          <t>I20EL</t>
        </is>
      </c>
      <c r="J133" s="29" t="n">
        <v>0.16</v>
      </c>
      <c r="K133" s="29" t="n">
        <v>0.08</v>
      </c>
      <c r="L133" s="30" t="n">
        <v>5</v>
      </c>
      <c r="M133" s="25">
        <f>(J133+K133)*L133</f>
        <v/>
      </c>
      <c r="N133" s="25">
        <f>0.24*L133</f>
        <v/>
      </c>
      <c r="O133" s="25" t="n"/>
      <c r="P133" s="25" t="n"/>
      <c r="Q133" s="25" t="n"/>
      <c r="R133" s="25" t="n"/>
      <c r="S133" s="28" t="n">
        <v>1838</v>
      </c>
    </row>
    <row r="134">
      <c r="A134" s="28" t="n">
        <v>133</v>
      </c>
      <c r="B134" s="28" t="inlineStr">
        <is>
          <t>Base</t>
        </is>
      </c>
      <c r="C134" s="28" t="inlineStr">
        <is>
          <t>1º Pavimento</t>
        </is>
      </c>
      <c r="D134" s="28" t="inlineStr">
        <is>
          <t>A</t>
        </is>
      </c>
      <c r="E134" s="28" t="n">
        <v>111</v>
      </c>
      <c r="F134" s="28" t="inlineStr">
        <is>
          <t>3.11.2</t>
        </is>
      </c>
      <c r="G134" s="28" t="inlineStr">
        <is>
          <t>Shaft</t>
        </is>
      </c>
      <c r="H134" s="28" t="inlineStr">
        <is>
          <t>10</t>
        </is>
      </c>
      <c r="I134" s="28" t="inlineStr">
        <is>
          <t>I20EL</t>
        </is>
      </c>
      <c r="J134" s="29" t="n">
        <v>0.47</v>
      </c>
      <c r="K134" s="29" t="n">
        <v>0.77</v>
      </c>
      <c r="L134" s="30" t="n">
        <v>5</v>
      </c>
      <c r="M134" s="25">
        <f>(J134+K134)*L134</f>
        <v/>
      </c>
      <c r="N134" s="25">
        <f>1.24*L134</f>
        <v/>
      </c>
      <c r="O134" s="25">
        <f>1.24*L134</f>
        <v/>
      </c>
      <c r="P134" s="25" t="n"/>
      <c r="Q134" s="25" t="n"/>
      <c r="R134" s="25" t="n"/>
      <c r="S134" s="28" t="n">
        <v>1846</v>
      </c>
    </row>
    <row r="135">
      <c r="A135" s="28" t="n">
        <v>134</v>
      </c>
      <c r="B135" s="28" t="inlineStr">
        <is>
          <t>Base</t>
        </is>
      </c>
      <c r="C135" s="28" t="inlineStr">
        <is>
          <t>1º Pavimento</t>
        </is>
      </c>
      <c r="D135" s="28" t="inlineStr">
        <is>
          <t>A</t>
        </is>
      </c>
      <c r="E135" s="28" t="n">
        <v>111</v>
      </c>
      <c r="F135" s="28" t="inlineStr">
        <is>
          <t>3.11.3</t>
        </is>
      </c>
      <c r="G135" s="28" t="inlineStr">
        <is>
          <t>Terraço 01</t>
        </is>
      </c>
      <c r="H135" s="28" t="inlineStr">
        <is>
          <t>11</t>
        </is>
      </c>
      <c r="I135" s="28" t="inlineStr">
        <is>
          <t>I30EL</t>
        </is>
      </c>
      <c r="J135" s="29" t="n">
        <v>16.6</v>
      </c>
      <c r="K135" s="29" t="n">
        <v>3.55</v>
      </c>
      <c r="L135" s="30" t="n">
        <v>1</v>
      </c>
      <c r="M135" s="25">
        <f>(J135+K135)*L135</f>
        <v/>
      </c>
      <c r="N135" s="25">
        <f>20.15*L135</f>
        <v/>
      </c>
      <c r="O135" s="25" t="n"/>
      <c r="P135" s="25" t="n"/>
      <c r="Q135" s="25" t="n"/>
      <c r="R135" s="25" t="n"/>
      <c r="S135" s="28" t="n">
        <v>1857</v>
      </c>
    </row>
    <row r="136">
      <c r="A136" s="28" t="n">
        <v>135</v>
      </c>
      <c r="B136" s="28" t="inlineStr">
        <is>
          <t>Base</t>
        </is>
      </c>
      <c r="C136" s="28" t="inlineStr">
        <is>
          <t>1º Pavimento</t>
        </is>
      </c>
      <c r="D136" s="28" t="inlineStr">
        <is>
          <t>A</t>
        </is>
      </c>
      <c r="E136" s="28" t="n">
        <v>111</v>
      </c>
      <c r="F136" s="28" t="inlineStr">
        <is>
          <t>3.11.3</t>
        </is>
      </c>
      <c r="G136" s="28" t="inlineStr">
        <is>
          <t>Terraço 02</t>
        </is>
      </c>
      <c r="H136" s="28" t="inlineStr">
        <is>
          <t>12</t>
        </is>
      </c>
      <c r="I136" s="28" t="inlineStr">
        <is>
          <t>I30EL</t>
        </is>
      </c>
      <c r="J136" s="29" t="n">
        <v>16.42</v>
      </c>
      <c r="K136" s="29" t="n">
        <v>3.46</v>
      </c>
      <c r="L136" s="30" t="n">
        <v>3</v>
      </c>
      <c r="M136" s="25">
        <f>(J136+K136)*L136</f>
        <v/>
      </c>
      <c r="N136" s="25">
        <f>19.88*L136</f>
        <v/>
      </c>
      <c r="O136" s="25" t="n"/>
      <c r="P136" s="25" t="n"/>
      <c r="Q136" s="25" t="n"/>
      <c r="R136" s="25" t="n"/>
      <c r="S136" s="28" t="n">
        <v>1865</v>
      </c>
    </row>
    <row r="137">
      <c r="A137" s="28" t="n">
        <v>136</v>
      </c>
      <c r="B137" s="28" t="inlineStr">
        <is>
          <t>Base</t>
        </is>
      </c>
      <c r="C137" s="28" t="inlineStr">
        <is>
          <t>1º Pavimento</t>
        </is>
      </c>
      <c r="D137" s="28" t="inlineStr">
        <is>
          <t>A</t>
        </is>
      </c>
      <c r="E137" s="28" t="n">
        <v>111</v>
      </c>
      <c r="F137" s="28" t="inlineStr">
        <is>
          <t>3.11.3</t>
        </is>
      </c>
      <c r="G137" s="28" t="inlineStr">
        <is>
          <t>Terraço 03</t>
        </is>
      </c>
      <c r="H137" s="28" t="inlineStr">
        <is>
          <t>13</t>
        </is>
      </c>
      <c r="I137" s="28" t="inlineStr">
        <is>
          <t>I30EL</t>
        </is>
      </c>
      <c r="J137" s="29" t="n">
        <v>16.58</v>
      </c>
      <c r="K137" s="29" t="n">
        <v>3.55</v>
      </c>
      <c r="L137" s="30" t="n">
        <v>1</v>
      </c>
      <c r="M137" s="25">
        <f>(J137+K137)*L137</f>
        <v/>
      </c>
      <c r="N137" s="25">
        <f>20.13*L137</f>
        <v/>
      </c>
      <c r="O137" s="25" t="n"/>
      <c r="P137" s="25" t="n"/>
      <c r="Q137" s="25" t="n"/>
      <c r="R137" s="25" t="n"/>
      <c r="S137" s="28" t="n">
        <v>1873</v>
      </c>
    </row>
    <row r="138">
      <c r="A138" s="28" t="n">
        <v>137</v>
      </c>
      <c r="B138" s="28" t="inlineStr">
        <is>
          <t>Base</t>
        </is>
      </c>
      <c r="C138" s="28" t="inlineStr">
        <is>
          <t>1º Pavimento</t>
        </is>
      </c>
      <c r="D138" s="28" t="inlineStr">
        <is>
          <t>A</t>
        </is>
      </c>
      <c r="E138" s="28" t="n">
        <v>111</v>
      </c>
      <c r="F138" s="28" t="inlineStr">
        <is>
          <t>3.11.3</t>
        </is>
      </c>
      <c r="G138" s="28" t="inlineStr">
        <is>
          <t>Terraço 04</t>
        </is>
      </c>
      <c r="H138" s="28" t="inlineStr">
        <is>
          <t>14</t>
        </is>
      </c>
      <c r="I138" s="28" t="inlineStr">
        <is>
          <t>I30EL</t>
        </is>
      </c>
      <c r="J138" s="29" t="n">
        <v>19.68</v>
      </c>
      <c r="K138" s="29" t="n">
        <v>5.5</v>
      </c>
      <c r="L138" s="30" t="n">
        <v>1</v>
      </c>
      <c r="M138" s="25">
        <f>(J138+K138)*L138</f>
        <v/>
      </c>
      <c r="N138" s="25">
        <f>25.18*L138</f>
        <v/>
      </c>
      <c r="O138" s="25" t="n"/>
      <c r="P138" s="25" t="n"/>
      <c r="Q138" s="25" t="n"/>
      <c r="R138" s="25" t="n"/>
      <c r="S138" s="28" t="n">
        <v>1881</v>
      </c>
    </row>
    <row r="139">
      <c r="A139" s="28" t="n">
        <v>138</v>
      </c>
      <c r="B139" s="28" t="inlineStr">
        <is>
          <t>Base</t>
        </is>
      </c>
      <c r="C139" s="28" t="inlineStr">
        <is>
          <t>1º Pavimento</t>
        </is>
      </c>
      <c r="D139" s="28" t="inlineStr">
        <is>
          <t>A</t>
        </is>
      </c>
      <c r="E139" s="28" t="n">
        <v>111</v>
      </c>
      <c r="F139" s="28" t="inlineStr">
        <is>
          <t>3.11.3</t>
        </is>
      </c>
      <c r="G139" s="28" t="inlineStr">
        <is>
          <t>Terraço 05</t>
        </is>
      </c>
      <c r="H139" s="28" t="inlineStr">
        <is>
          <t>15</t>
        </is>
      </c>
      <c r="I139" s="28" t="inlineStr">
        <is>
          <t>I30EL</t>
        </is>
      </c>
      <c r="J139" s="29" t="n">
        <v>19.3</v>
      </c>
      <c r="K139" s="29" t="n">
        <v>5.31</v>
      </c>
      <c r="L139" s="30" t="n">
        <v>3</v>
      </c>
      <c r="M139" s="25">
        <f>(J139+K139)*L139</f>
        <v/>
      </c>
      <c r="N139" s="25">
        <f>24.61*L139</f>
        <v/>
      </c>
      <c r="O139" s="25" t="n"/>
      <c r="P139" s="25" t="n"/>
      <c r="Q139" s="25" t="n"/>
      <c r="R139" s="25" t="n"/>
      <c r="S139" s="28" t="n">
        <v>1889</v>
      </c>
    </row>
    <row r="140">
      <c r="A140" s="28" t="n">
        <v>139</v>
      </c>
      <c r="B140" s="28" t="inlineStr">
        <is>
          <t>Base</t>
        </is>
      </c>
      <c r="C140" s="28" t="inlineStr">
        <is>
          <t>1º Pavimento</t>
        </is>
      </c>
      <c r="D140" s="28" t="inlineStr">
        <is>
          <t>A</t>
        </is>
      </c>
      <c r="E140" s="28" t="n">
        <v>111</v>
      </c>
      <c r="F140" s="28" t="inlineStr">
        <is>
          <t>3.11.3</t>
        </is>
      </c>
      <c r="G140" s="28" t="inlineStr">
        <is>
          <t>Terraço 06</t>
        </is>
      </c>
      <c r="H140" s="28" t="inlineStr">
        <is>
          <t>16</t>
        </is>
      </c>
      <c r="I140" s="28" t="inlineStr">
        <is>
          <t>I30EL</t>
        </is>
      </c>
      <c r="J140" s="29" t="n">
        <v>21.84</v>
      </c>
      <c r="K140" s="29" t="n">
        <v>5.98</v>
      </c>
      <c r="L140" s="30" t="n">
        <v>1</v>
      </c>
      <c r="M140" s="25">
        <f>(J140+K140)*L140</f>
        <v/>
      </c>
      <c r="N140" s="25">
        <f>27.82*L140</f>
        <v/>
      </c>
      <c r="O140" s="25" t="n"/>
      <c r="P140" s="25" t="n"/>
      <c r="Q140" s="25" t="n"/>
      <c r="R140" s="25" t="n"/>
      <c r="S140" s="28" t="n">
        <v>1897</v>
      </c>
    </row>
    <row r="141">
      <c r="A141" s="28" t="n">
        <v>140</v>
      </c>
      <c r="B141" s="28" t="inlineStr">
        <is>
          <t>Base</t>
        </is>
      </c>
      <c r="C141" s="28" t="inlineStr">
        <is>
          <t>1º Pavimento</t>
        </is>
      </c>
      <c r="D141" s="28" t="inlineStr">
        <is>
          <t>A</t>
        </is>
      </c>
      <c r="E141" s="28" t="n">
        <v>111</v>
      </c>
      <c r="F141" s="28" t="inlineStr">
        <is>
          <t>3.11.4</t>
        </is>
      </c>
      <c r="G141" s="28" t="inlineStr">
        <is>
          <t>Abas Terraços</t>
        </is>
      </c>
      <c r="H141" s="28" t="inlineStr">
        <is>
          <t>17</t>
        </is>
      </c>
      <c r="I141" s="28" t="inlineStr">
        <is>
          <t>I30EL</t>
        </is>
      </c>
      <c r="J141" s="29" t="n">
        <v>21.95</v>
      </c>
      <c r="K141" s="29" t="n">
        <v>40.88</v>
      </c>
      <c r="L141" s="30" t="n">
        <v>1</v>
      </c>
      <c r="M141" s="25">
        <f>(J141+K141)*L141</f>
        <v/>
      </c>
      <c r="N141" s="25">
        <f>62.83*L141</f>
        <v/>
      </c>
      <c r="O141" s="25">
        <f>62.83*L141</f>
        <v/>
      </c>
      <c r="P141" s="25" t="n"/>
      <c r="Q141" s="25" t="n"/>
      <c r="R141" s="25" t="n"/>
      <c r="S141" s="28" t="n">
        <v>1905</v>
      </c>
    </row>
    <row r="142">
      <c r="A142" s="28" t="n">
        <v>141</v>
      </c>
      <c r="B142" s="28" t="inlineStr">
        <is>
          <t>Base</t>
        </is>
      </c>
      <c r="C142" s="28" t="inlineStr">
        <is>
          <t>1º Pavimento</t>
        </is>
      </c>
      <c r="D142" s="28" t="inlineStr">
        <is>
          <t>A</t>
        </is>
      </c>
      <c r="E142" s="28" t="n">
        <v>111</v>
      </c>
      <c r="F142" s="28" t="inlineStr">
        <is>
          <t>3.11.4</t>
        </is>
      </c>
      <c r="G142" s="28" t="inlineStr">
        <is>
          <t>Abas Floreiras</t>
        </is>
      </c>
      <c r="H142" s="28" t="inlineStr">
        <is>
          <t>18</t>
        </is>
      </c>
      <c r="I142" s="28" t="inlineStr">
        <is>
          <t>I30EL</t>
        </is>
      </c>
      <c r="J142" s="29" t="n">
        <v>5.09</v>
      </c>
      <c r="K142" s="29" t="n">
        <v>34.02</v>
      </c>
      <c r="L142" s="30" t="n">
        <v>1</v>
      </c>
      <c r="M142" s="25">
        <f>(J142+K142)*L142</f>
        <v/>
      </c>
      <c r="N142" s="25">
        <f>39.11*L142</f>
        <v/>
      </c>
      <c r="O142" s="25">
        <f>39.11*L142</f>
        <v/>
      </c>
      <c r="P142" s="25" t="n"/>
      <c r="Q142" s="25" t="n"/>
      <c r="R142" s="25" t="n"/>
      <c r="S142" s="28" t="n">
        <v>1915</v>
      </c>
    </row>
    <row r="143">
      <c r="A143" s="28" t="n">
        <v>142</v>
      </c>
      <c r="B143" s="28" t="inlineStr">
        <is>
          <t>Base</t>
        </is>
      </c>
      <c r="C143" s="28" t="inlineStr">
        <is>
          <t>1º Pavimento</t>
        </is>
      </c>
      <c r="D143" s="28" t="inlineStr">
        <is>
          <t>A</t>
        </is>
      </c>
      <c r="E143" s="28" t="n">
        <v>111</v>
      </c>
      <c r="F143" s="28" t="inlineStr">
        <is>
          <t>3.11.4</t>
        </is>
      </c>
      <c r="G143" s="28" t="inlineStr">
        <is>
          <t>Caixões Perdidos</t>
        </is>
      </c>
      <c r="H143" s="28" t="inlineStr">
        <is>
          <t>19</t>
        </is>
      </c>
      <c r="I143" s="28" t="inlineStr">
        <is>
          <t>I30EL</t>
        </is>
      </c>
      <c r="J143" s="29" t="n">
        <v>23.43</v>
      </c>
      <c r="K143" s="29" t="n">
        <v>35.14</v>
      </c>
      <c r="L143" s="30" t="n">
        <v>1</v>
      </c>
      <c r="M143" s="25">
        <f>(J143+K143)*L143</f>
        <v/>
      </c>
      <c r="N143" s="25">
        <f>58.57*L143</f>
        <v/>
      </c>
      <c r="O143" s="25">
        <f>58.57*L143</f>
        <v/>
      </c>
      <c r="P143" s="25" t="n"/>
      <c r="Q143" s="25" t="n"/>
      <c r="R143" s="25" t="n"/>
      <c r="S143" s="28" t="n">
        <v>1925</v>
      </c>
    </row>
    <row r="144">
      <c r="A144" s="28" t="n">
        <v>143</v>
      </c>
      <c r="B144" s="28" t="inlineStr">
        <is>
          <t>Base</t>
        </is>
      </c>
      <c r="C144" s="28" t="inlineStr">
        <is>
          <t>1º Pavimento</t>
        </is>
      </c>
      <c r="D144" s="28" t="inlineStr">
        <is>
          <t>A</t>
        </is>
      </c>
      <c r="E144" s="28" t="n">
        <v>111</v>
      </c>
      <c r="F144" s="28" t="inlineStr">
        <is>
          <t>3.11.4</t>
        </is>
      </c>
      <c r="G144" s="28" t="inlineStr">
        <is>
          <t>Laje Impermeabilizada 01</t>
        </is>
      </c>
      <c r="H144" s="28" t="inlineStr">
        <is>
          <t>20</t>
        </is>
      </c>
      <c r="I144" s="28" t="inlineStr">
        <is>
          <t>I30EL</t>
        </is>
      </c>
      <c r="J144" s="29" t="n">
        <v>1.71</v>
      </c>
      <c r="K144" s="29" t="n">
        <v>1.83</v>
      </c>
      <c r="L144" s="30" t="n">
        <v>2</v>
      </c>
      <c r="M144" s="25">
        <f>(J144+K144)*L144</f>
        <v/>
      </c>
      <c r="N144" s="25">
        <f>3.54*L144</f>
        <v/>
      </c>
      <c r="O144" s="25">
        <f>3.54*L144</f>
        <v/>
      </c>
      <c r="P144" s="25" t="n"/>
      <c r="Q144" s="25" t="n"/>
      <c r="R144" s="25" t="n"/>
      <c r="S144" s="28" t="n">
        <v>1935</v>
      </c>
    </row>
    <row r="145">
      <c r="A145" s="28" t="n">
        <v>144</v>
      </c>
      <c r="B145" s="28" t="inlineStr">
        <is>
          <t>Base</t>
        </is>
      </c>
      <c r="C145" s="28" t="inlineStr">
        <is>
          <t>1º Pavimento</t>
        </is>
      </c>
      <c r="D145" s="28" t="inlineStr">
        <is>
          <t>A</t>
        </is>
      </c>
      <c r="E145" s="28" t="n">
        <v>111</v>
      </c>
      <c r="F145" s="28" t="inlineStr">
        <is>
          <t>3.11.5</t>
        </is>
      </c>
      <c r="G145" s="28" t="inlineStr">
        <is>
          <t>Floreiras</t>
        </is>
      </c>
      <c r="H145" s="28" t="inlineStr">
        <is>
          <t>21</t>
        </is>
      </c>
      <c r="I145" s="28" t="inlineStr">
        <is>
          <t>JP30AR05</t>
        </is>
      </c>
      <c r="J145" s="29" t="n">
        <v>27.92</v>
      </c>
      <c r="K145" s="29" t="n">
        <v>95.79000000000001</v>
      </c>
      <c r="L145" s="30" t="n">
        <v>1</v>
      </c>
      <c r="M145" s="25">
        <f>(J145+K145)*L145</f>
        <v/>
      </c>
      <c r="N145" s="25">
        <f>123.71*L145</f>
        <v/>
      </c>
      <c r="O145" s="25">
        <f>123.71*L145</f>
        <v/>
      </c>
      <c r="P145" s="25" t="n"/>
      <c r="Q145" s="25" t="n"/>
      <c r="R145" s="25">
        <f>27.92*L145</f>
        <v/>
      </c>
      <c r="S145" s="28" t="n">
        <v>1946</v>
      </c>
    </row>
    <row r="146">
      <c r="A146" s="28" t="n">
        <v>145</v>
      </c>
      <c r="B146" s="28" t="inlineStr">
        <is>
          <t>Base</t>
        </is>
      </c>
      <c r="C146" s="28" t="inlineStr">
        <is>
          <t>1º Pavimento</t>
        </is>
      </c>
      <c r="D146" s="28" t="inlineStr">
        <is>
          <t>A</t>
        </is>
      </c>
      <c r="E146" s="28" t="n">
        <v>111</v>
      </c>
      <c r="F146" s="28" t="inlineStr">
        <is>
          <t>3.11.6</t>
        </is>
      </c>
      <c r="G146" s="28" t="inlineStr">
        <is>
          <t>Laje Impermeabilizada 02</t>
        </is>
      </c>
      <c r="H146" s="28" t="inlineStr">
        <is>
          <t>22</t>
        </is>
      </c>
      <c r="I146" s="28" t="inlineStr">
        <is>
          <t>M44A</t>
        </is>
      </c>
      <c r="J146" s="29" t="n">
        <v>0.83</v>
      </c>
      <c r="K146" s="29" t="n">
        <v>1.66</v>
      </c>
      <c r="L146" s="30" t="n">
        <v>1</v>
      </c>
      <c r="M146" s="25">
        <f>(J146+K146)*L146</f>
        <v/>
      </c>
      <c r="N146" s="25">
        <f>2.49*L146</f>
        <v/>
      </c>
      <c r="O146" s="25">
        <f>0.83*L146</f>
        <v/>
      </c>
      <c r="P146" s="25">
        <f>1.66*L146</f>
        <v/>
      </c>
      <c r="Q146" s="25" t="n"/>
      <c r="R146" s="25" t="n"/>
      <c r="S146" s="28" t="n">
        <v>1961</v>
      </c>
    </row>
    <row r="147">
      <c r="A147" s="28" t="n">
        <v>146</v>
      </c>
      <c r="B147" s="28" t="inlineStr">
        <is>
          <t>Base</t>
        </is>
      </c>
      <c r="C147" s="28" t="inlineStr">
        <is>
          <t>1º Pavimento</t>
        </is>
      </c>
      <c r="D147" s="28" t="inlineStr">
        <is>
          <t>A</t>
        </is>
      </c>
      <c r="E147" s="28" t="n">
        <v>111</v>
      </c>
      <c r="F147" s="28" t="inlineStr">
        <is>
          <t>3.11.6</t>
        </is>
      </c>
      <c r="G147" s="28" t="inlineStr">
        <is>
          <t>Laje Impermeabilizada 03</t>
        </is>
      </c>
      <c r="H147" s="28" t="inlineStr">
        <is>
          <t>23</t>
        </is>
      </c>
      <c r="I147" s="28" t="inlineStr">
        <is>
          <t>M44A</t>
        </is>
      </c>
      <c r="J147" s="29" t="n">
        <v>2.56</v>
      </c>
      <c r="K147" s="29" t="n">
        <v>2.56</v>
      </c>
      <c r="L147" s="30" t="n">
        <v>5</v>
      </c>
      <c r="M147" s="25">
        <f>(J147+K147)*L147</f>
        <v/>
      </c>
      <c r="N147" s="25">
        <f>5.12*L147</f>
        <v/>
      </c>
      <c r="O147" s="25">
        <f>2.56*L147</f>
        <v/>
      </c>
      <c r="P147" s="25">
        <f>2.56*L147</f>
        <v/>
      </c>
      <c r="Q147" s="25" t="n"/>
      <c r="R147" s="25" t="n"/>
      <c r="S147" s="28" t="n">
        <v>1975</v>
      </c>
    </row>
    <row r="148">
      <c r="A148" s="28" t="n">
        <v>147</v>
      </c>
      <c r="B148" s="28" t="inlineStr">
        <is>
          <t>Base</t>
        </is>
      </c>
      <c r="C148" s="28" t="inlineStr">
        <is>
          <t>1º Pavimento</t>
        </is>
      </c>
      <c r="D148" s="28" t="inlineStr">
        <is>
          <t>A</t>
        </is>
      </c>
      <c r="E148" s="28" t="n">
        <v>111</v>
      </c>
      <c r="F148" s="28" t="inlineStr">
        <is>
          <t>3.11.6</t>
        </is>
      </c>
      <c r="G148" s="28" t="inlineStr">
        <is>
          <t>Laje Impermeabilizada 04</t>
        </is>
      </c>
      <c r="H148" s="28" t="inlineStr">
        <is>
          <t>24</t>
        </is>
      </c>
      <c r="I148" s="28" t="inlineStr">
        <is>
          <t>M44A</t>
        </is>
      </c>
      <c r="J148" s="29" t="n">
        <v>11.68</v>
      </c>
      <c r="K148" s="29" t="n">
        <v>5.23</v>
      </c>
      <c r="L148" s="30" t="n">
        <v>1</v>
      </c>
      <c r="M148" s="25">
        <f>(J148+K148)*L148</f>
        <v/>
      </c>
      <c r="N148" s="25">
        <f>16.91*L148</f>
        <v/>
      </c>
      <c r="O148" s="25">
        <f>11.68*L148</f>
        <v/>
      </c>
      <c r="P148" s="25">
        <f>5.23*L148</f>
        <v/>
      </c>
      <c r="Q148" s="25" t="n"/>
      <c r="R148" s="25" t="n"/>
      <c r="S148" s="28" t="n">
        <v>1989</v>
      </c>
    </row>
    <row r="149">
      <c r="A149" s="28" t="n">
        <v>148</v>
      </c>
      <c r="B149" s="28" t="inlineStr">
        <is>
          <t>Base</t>
        </is>
      </c>
      <c r="C149" s="28" t="inlineStr">
        <is>
          <t>1º Pavimento</t>
        </is>
      </c>
      <c r="D149" s="28" t="inlineStr">
        <is>
          <t>A</t>
        </is>
      </c>
      <c r="E149" s="28" t="n">
        <v>111</v>
      </c>
      <c r="F149" s="28" t="inlineStr">
        <is>
          <t>3.11.7</t>
        </is>
      </c>
      <c r="G149" s="28" t="inlineStr">
        <is>
          <t>Cobertura Verde 01</t>
        </is>
      </c>
      <c r="H149" s="28" t="inlineStr">
        <is>
          <t>25</t>
        </is>
      </c>
      <c r="I149" s="28" t="inlineStr">
        <is>
          <t>M44AR05</t>
        </is>
      </c>
      <c r="J149" s="29" t="n">
        <v>7.48</v>
      </c>
      <c r="K149" s="29" t="n">
        <v>36.24</v>
      </c>
      <c r="L149" s="30" t="n">
        <v>1</v>
      </c>
      <c r="M149" s="25">
        <f>(J149+K149)*L149</f>
        <v/>
      </c>
      <c r="N149" s="25">
        <f>43.72*L149</f>
        <v/>
      </c>
      <c r="O149" s="25">
        <f>7.48*L149</f>
        <v/>
      </c>
      <c r="P149" s="25">
        <f>36.24*L149</f>
        <v/>
      </c>
      <c r="Q149" s="25" t="n"/>
      <c r="R149" s="25">
        <f>7.48*L149</f>
        <v/>
      </c>
      <c r="S149" s="28" t="n">
        <v>2004</v>
      </c>
    </row>
    <row r="150">
      <c r="A150" s="28" t="n">
        <v>149</v>
      </c>
      <c r="B150" s="28" t="inlineStr">
        <is>
          <t>Base</t>
        </is>
      </c>
      <c r="C150" s="28" t="inlineStr">
        <is>
          <t>1º Pavimento</t>
        </is>
      </c>
      <c r="D150" s="28" t="inlineStr">
        <is>
          <t>A</t>
        </is>
      </c>
      <c r="E150" s="28" t="n">
        <v>111</v>
      </c>
      <c r="F150" s="28" t="inlineStr">
        <is>
          <t>3.11.7</t>
        </is>
      </c>
      <c r="G150" s="28" t="inlineStr">
        <is>
          <t>Cobertura Verde 02</t>
        </is>
      </c>
      <c r="H150" s="28" t="inlineStr">
        <is>
          <t>26</t>
        </is>
      </c>
      <c r="I150" s="28" t="inlineStr">
        <is>
          <t>M44AR05</t>
        </is>
      </c>
      <c r="J150" s="29" t="n">
        <v>15.1</v>
      </c>
      <c r="K150" s="29" t="n">
        <v>70.64</v>
      </c>
      <c r="L150" s="30" t="n">
        <v>2</v>
      </c>
      <c r="M150" s="25">
        <f>(J150+K150)*L150</f>
        <v/>
      </c>
      <c r="N150" s="25">
        <f>85.74*L150</f>
        <v/>
      </c>
      <c r="O150" s="25">
        <f>15.1*L150</f>
        <v/>
      </c>
      <c r="P150" s="25">
        <f>70.64*L150</f>
        <v/>
      </c>
      <c r="Q150" s="25" t="n"/>
      <c r="R150" s="25">
        <f>15.1*L150</f>
        <v/>
      </c>
      <c r="S150" s="28" t="n">
        <v>2020</v>
      </c>
    </row>
    <row r="151">
      <c r="A151" s="28" t="n">
        <v>150</v>
      </c>
      <c r="B151" s="28" t="inlineStr">
        <is>
          <t>Base</t>
        </is>
      </c>
      <c r="C151" s="28" t="inlineStr">
        <is>
          <t>1º Pavimento</t>
        </is>
      </c>
      <c r="D151" s="28" t="inlineStr">
        <is>
          <t>B</t>
        </is>
      </c>
      <c r="E151" s="28" t="n">
        <v>112</v>
      </c>
      <c r="F151" s="28" t="inlineStr">
        <is>
          <t>3.12.1</t>
        </is>
      </c>
      <c r="G151" s="28" t="inlineStr">
        <is>
          <t>Banho 01</t>
        </is>
      </c>
      <c r="H151" s="28" t="inlineStr">
        <is>
          <t>1</t>
        </is>
      </c>
      <c r="I151" s="28" t="inlineStr">
        <is>
          <t>I20EL</t>
        </is>
      </c>
      <c r="J151" s="29" t="n">
        <v>3.66</v>
      </c>
      <c r="K151" s="29" t="n">
        <v>8.140000000000001</v>
      </c>
      <c r="L151" s="30" t="n">
        <v>4</v>
      </c>
      <c r="M151" s="25">
        <f>(J151+K151)*L151</f>
        <v/>
      </c>
      <c r="N151" s="25">
        <f>11.8*L151</f>
        <v/>
      </c>
      <c r="O151" s="25" t="n"/>
      <c r="P151" s="25" t="n"/>
      <c r="Q151" s="25" t="n"/>
      <c r="R151" s="25" t="n"/>
      <c r="S151" s="28" t="n">
        <v>2049</v>
      </c>
    </row>
    <row r="152">
      <c r="A152" s="28" t="n">
        <v>151</v>
      </c>
      <c r="B152" s="28" t="inlineStr">
        <is>
          <t>Base</t>
        </is>
      </c>
      <c r="C152" s="28" t="inlineStr">
        <is>
          <t>1º Pavimento</t>
        </is>
      </c>
      <c r="D152" s="28" t="inlineStr">
        <is>
          <t>B</t>
        </is>
      </c>
      <c r="E152" s="28" t="n">
        <v>112</v>
      </c>
      <c r="F152" s="28" t="inlineStr">
        <is>
          <t>3.12.1</t>
        </is>
      </c>
      <c r="G152" s="28" t="inlineStr">
        <is>
          <t>Banho 02</t>
        </is>
      </c>
      <c r="H152" s="28" t="inlineStr">
        <is>
          <t>2</t>
        </is>
      </c>
      <c r="I152" s="28" t="inlineStr">
        <is>
          <t>I20EL</t>
        </is>
      </c>
      <c r="J152" s="29" t="n">
        <v>3.61</v>
      </c>
      <c r="K152" s="29" t="n">
        <v>8.130000000000001</v>
      </c>
      <c r="L152" s="30" t="n">
        <v>4</v>
      </c>
      <c r="M152" s="25">
        <f>(J152+K152)*L152</f>
        <v/>
      </c>
      <c r="N152" s="25">
        <f>11.74*L152</f>
        <v/>
      </c>
      <c r="O152" s="25" t="n"/>
      <c r="P152" s="25" t="n"/>
      <c r="Q152" s="25" t="n"/>
      <c r="R152" s="25" t="n"/>
      <c r="S152" s="28" t="n">
        <v>2057</v>
      </c>
    </row>
    <row r="153">
      <c r="A153" s="28" t="n">
        <v>152</v>
      </c>
      <c r="B153" s="28" t="inlineStr">
        <is>
          <t>Base</t>
        </is>
      </c>
      <c r="C153" s="28" t="inlineStr">
        <is>
          <t>1º Pavimento</t>
        </is>
      </c>
      <c r="D153" s="28" t="inlineStr">
        <is>
          <t>B</t>
        </is>
      </c>
      <c r="E153" s="28" t="n">
        <v>112</v>
      </c>
      <c r="F153" s="28" t="inlineStr">
        <is>
          <t>3.12.1</t>
        </is>
      </c>
      <c r="G153" s="28" t="inlineStr">
        <is>
          <t>Banho Master</t>
        </is>
      </c>
      <c r="H153" s="28" t="inlineStr">
        <is>
          <t>3</t>
        </is>
      </c>
      <c r="I153" s="28" t="inlineStr">
        <is>
          <t>I20EL</t>
        </is>
      </c>
      <c r="J153" s="29" t="n">
        <v>6.51</v>
      </c>
      <c r="K153" s="29" t="n">
        <v>7.37</v>
      </c>
      <c r="L153" s="30" t="n">
        <v>4</v>
      </c>
      <c r="M153" s="25">
        <f>(J153+K153)*L153</f>
        <v/>
      </c>
      <c r="N153" s="25">
        <f>13.88*L153</f>
        <v/>
      </c>
      <c r="O153" s="25" t="n"/>
      <c r="P153" s="25" t="n"/>
      <c r="Q153" s="25" t="n"/>
      <c r="R153" s="25" t="n"/>
      <c r="S153" s="28" t="n">
        <v>2065</v>
      </c>
    </row>
    <row r="154">
      <c r="A154" s="28" t="n">
        <v>153</v>
      </c>
      <c r="B154" s="28" t="inlineStr">
        <is>
          <t>Base</t>
        </is>
      </c>
      <c r="C154" s="28" t="inlineStr">
        <is>
          <t>1º Pavimento</t>
        </is>
      </c>
      <c r="D154" s="28" t="inlineStr">
        <is>
          <t>B</t>
        </is>
      </c>
      <c r="E154" s="28" t="n">
        <v>112</v>
      </c>
      <c r="F154" s="28" t="inlineStr">
        <is>
          <t>3.12.1</t>
        </is>
      </c>
      <c r="G154" s="28" t="inlineStr">
        <is>
          <t>Banho Serviço</t>
        </is>
      </c>
      <c r="H154" s="28" t="inlineStr">
        <is>
          <t>4</t>
        </is>
      </c>
      <c r="I154" s="28" t="inlineStr">
        <is>
          <t>I20EL</t>
        </is>
      </c>
      <c r="J154" s="29" t="n">
        <v>2.44</v>
      </c>
      <c r="K154" s="29" t="n">
        <v>5.01</v>
      </c>
      <c r="L154" s="30" t="n">
        <v>4</v>
      </c>
      <c r="M154" s="25">
        <f>(J154+K154)*L154</f>
        <v/>
      </c>
      <c r="N154" s="25">
        <f>7.45*L154</f>
        <v/>
      </c>
      <c r="O154" s="25" t="n"/>
      <c r="P154" s="25" t="n"/>
      <c r="Q154" s="25" t="n"/>
      <c r="R154" s="25" t="n"/>
      <c r="S154" s="28" t="n">
        <v>2073</v>
      </c>
    </row>
    <row r="155">
      <c r="A155" s="28" t="n">
        <v>154</v>
      </c>
      <c r="B155" s="28" t="inlineStr">
        <is>
          <t>Base</t>
        </is>
      </c>
      <c r="C155" s="28" t="inlineStr">
        <is>
          <t>1º Pavimento</t>
        </is>
      </c>
      <c r="D155" s="28" t="inlineStr">
        <is>
          <t>B</t>
        </is>
      </c>
      <c r="E155" s="28" t="n">
        <v>112</v>
      </c>
      <c r="F155" s="28" t="inlineStr">
        <is>
          <t>3.12.1</t>
        </is>
      </c>
      <c r="G155" s="28" t="inlineStr">
        <is>
          <t>Lavabo</t>
        </is>
      </c>
      <c r="H155" s="28" t="inlineStr">
        <is>
          <t>5</t>
        </is>
      </c>
      <c r="I155" s="28" t="inlineStr">
        <is>
          <t>I20EL</t>
        </is>
      </c>
      <c r="J155" s="29" t="n">
        <v>2.65</v>
      </c>
      <c r="K155" s="29" t="n">
        <v>1.84</v>
      </c>
      <c r="L155" s="30" t="n">
        <v>4</v>
      </c>
      <c r="M155" s="25">
        <f>(J155+K155)*L155</f>
        <v/>
      </c>
      <c r="N155" s="25">
        <f>4.49*L155</f>
        <v/>
      </c>
      <c r="O155" s="25" t="n"/>
      <c r="P155" s="25" t="n"/>
      <c r="Q155" s="25" t="n"/>
      <c r="R155" s="25" t="n"/>
      <c r="S155" s="28" t="n">
        <v>2081</v>
      </c>
    </row>
    <row r="156">
      <c r="A156" s="28" t="n">
        <v>155</v>
      </c>
      <c r="B156" s="28" t="inlineStr">
        <is>
          <t>Base</t>
        </is>
      </c>
      <c r="C156" s="28" t="inlineStr">
        <is>
          <t>1º Pavimento</t>
        </is>
      </c>
      <c r="D156" s="28" t="inlineStr">
        <is>
          <t>B</t>
        </is>
      </c>
      <c r="E156" s="28" t="n">
        <v>112</v>
      </c>
      <c r="F156" s="28" t="inlineStr">
        <is>
          <t>3.12.1</t>
        </is>
      </c>
      <c r="G156" s="28" t="inlineStr">
        <is>
          <t>Área de Serviço</t>
        </is>
      </c>
      <c r="H156" s="28" t="inlineStr">
        <is>
          <t>6</t>
        </is>
      </c>
      <c r="I156" s="28" t="inlineStr">
        <is>
          <t>I20EL</t>
        </is>
      </c>
      <c r="J156" s="29" t="n">
        <v>3.45</v>
      </c>
      <c r="K156" s="29" t="n">
        <v>2.1</v>
      </c>
      <c r="L156" s="30" t="n">
        <v>4</v>
      </c>
      <c r="M156" s="25">
        <f>(J156+K156)*L156</f>
        <v/>
      </c>
      <c r="N156" s="25">
        <f>5.55*L156</f>
        <v/>
      </c>
      <c r="O156" s="25" t="n"/>
      <c r="P156" s="25" t="n"/>
      <c r="Q156" s="25" t="n"/>
      <c r="R156" s="25" t="n"/>
      <c r="S156" s="28" t="n">
        <v>2089</v>
      </c>
    </row>
    <row r="157">
      <c r="A157" s="28" t="n">
        <v>156</v>
      </c>
      <c r="B157" s="28" t="inlineStr">
        <is>
          <t>Base</t>
        </is>
      </c>
      <c r="C157" s="28" t="inlineStr">
        <is>
          <t>1º Pavimento</t>
        </is>
      </c>
      <c r="D157" s="28" t="inlineStr">
        <is>
          <t>B</t>
        </is>
      </c>
      <c r="E157" s="28" t="n">
        <v>112</v>
      </c>
      <c r="F157" s="28" t="inlineStr">
        <is>
          <t>3.12.1</t>
        </is>
      </c>
      <c r="G157" s="28" t="inlineStr">
        <is>
          <t>Comp. Lixo</t>
        </is>
      </c>
      <c r="H157" s="28" t="inlineStr">
        <is>
          <t>7</t>
        </is>
      </c>
      <c r="I157" s="28" t="inlineStr">
        <is>
          <t>I20EL</t>
        </is>
      </c>
      <c r="J157" s="29" t="n">
        <v>1.09</v>
      </c>
      <c r="K157" s="29" t="n">
        <v>13.66</v>
      </c>
      <c r="L157" s="30" t="n">
        <v>2</v>
      </c>
      <c r="M157" s="25">
        <f>(J157+K157)*L157</f>
        <v/>
      </c>
      <c r="N157" s="25">
        <f>14.75*L157</f>
        <v/>
      </c>
      <c r="O157" s="25" t="n"/>
      <c r="P157" s="25" t="n"/>
      <c r="Q157" s="25" t="n"/>
      <c r="R157" s="25" t="n"/>
      <c r="S157" s="28" t="n">
        <v>2097</v>
      </c>
    </row>
    <row r="158">
      <c r="A158" s="28" t="n">
        <v>157</v>
      </c>
      <c r="B158" s="28" t="inlineStr">
        <is>
          <t>Base</t>
        </is>
      </c>
      <c r="C158" s="28" t="inlineStr">
        <is>
          <t>1º Pavimento</t>
        </is>
      </c>
      <c r="D158" s="28" t="inlineStr">
        <is>
          <t>B</t>
        </is>
      </c>
      <c r="E158" s="28" t="n">
        <v>112</v>
      </c>
      <c r="F158" s="28" t="inlineStr">
        <is>
          <t>3.12.1</t>
        </is>
      </c>
      <c r="G158" s="28" t="inlineStr">
        <is>
          <t>Tubulação Emergente</t>
        </is>
      </c>
      <c r="H158" s="28" t="inlineStr">
        <is>
          <t>8</t>
        </is>
      </c>
      <c r="I158" s="28" t="inlineStr">
        <is>
          <t>I20EL</t>
        </is>
      </c>
      <c r="J158" s="29" t="n">
        <v>0.16</v>
      </c>
      <c r="K158" s="29" t="n">
        <v>0.08</v>
      </c>
      <c r="L158" s="30" t="n">
        <v>4</v>
      </c>
      <c r="M158" s="25">
        <f>(J158+K158)*L158</f>
        <v/>
      </c>
      <c r="N158" s="25">
        <f>0.24*L158</f>
        <v/>
      </c>
      <c r="O158" s="25" t="n"/>
      <c r="P158" s="25" t="n"/>
      <c r="Q158" s="25" t="n"/>
      <c r="R158" s="25" t="n"/>
      <c r="S158" s="28" t="n">
        <v>2105</v>
      </c>
    </row>
    <row r="159">
      <c r="A159" s="28" t="n">
        <v>158</v>
      </c>
      <c r="B159" s="28" t="inlineStr">
        <is>
          <t>Base</t>
        </is>
      </c>
      <c r="C159" s="28" t="inlineStr">
        <is>
          <t>1º Pavimento</t>
        </is>
      </c>
      <c r="D159" s="28" t="inlineStr">
        <is>
          <t>B</t>
        </is>
      </c>
      <c r="E159" s="28" t="n">
        <v>112</v>
      </c>
      <c r="F159" s="28" t="inlineStr">
        <is>
          <t>3.12.2</t>
        </is>
      </c>
      <c r="G159" s="28" t="inlineStr">
        <is>
          <t>Shaft</t>
        </is>
      </c>
      <c r="H159" s="28" t="inlineStr">
        <is>
          <t>9</t>
        </is>
      </c>
      <c r="I159" s="28" t="inlineStr">
        <is>
          <t>I20EL</t>
        </is>
      </c>
      <c r="J159" s="29" t="n">
        <v>0.47</v>
      </c>
      <c r="K159" s="29" t="n">
        <v>0.77</v>
      </c>
      <c r="L159" s="30" t="n">
        <v>4</v>
      </c>
      <c r="M159" s="25">
        <f>(J159+K159)*L159</f>
        <v/>
      </c>
      <c r="N159" s="25">
        <f>1.24*L159</f>
        <v/>
      </c>
      <c r="O159" s="25">
        <f>1.24*L159</f>
        <v/>
      </c>
      <c r="P159" s="25" t="n"/>
      <c r="Q159" s="25" t="n"/>
      <c r="R159" s="25" t="n"/>
      <c r="S159" s="28" t="n">
        <v>2113</v>
      </c>
    </row>
    <row r="160">
      <c r="A160" s="28" t="n">
        <v>159</v>
      </c>
      <c r="B160" s="28" t="inlineStr">
        <is>
          <t>Base</t>
        </is>
      </c>
      <c r="C160" s="28" t="inlineStr">
        <is>
          <t>1º Pavimento</t>
        </is>
      </c>
      <c r="D160" s="28" t="inlineStr">
        <is>
          <t>B</t>
        </is>
      </c>
      <c r="E160" s="28" t="n">
        <v>112</v>
      </c>
      <c r="F160" s="28" t="inlineStr">
        <is>
          <t>3.12.3</t>
        </is>
      </c>
      <c r="G160" s="28" t="inlineStr">
        <is>
          <t>Terraço 01</t>
        </is>
      </c>
      <c r="H160" s="28" t="inlineStr">
        <is>
          <t>10</t>
        </is>
      </c>
      <c r="I160" s="28" t="inlineStr">
        <is>
          <t>I30EL</t>
        </is>
      </c>
      <c r="J160" s="29" t="n">
        <v>16.6</v>
      </c>
      <c r="K160" s="29" t="n">
        <v>3.55</v>
      </c>
      <c r="L160" s="30" t="n">
        <v>1</v>
      </c>
      <c r="M160" s="25">
        <f>(J160+K160)*L160</f>
        <v/>
      </c>
      <c r="N160" s="25">
        <f>20.15*L160</f>
        <v/>
      </c>
      <c r="O160" s="25" t="n"/>
      <c r="P160" s="25" t="n"/>
      <c r="Q160" s="25" t="n"/>
      <c r="R160" s="25" t="n"/>
      <c r="S160" s="28" t="n">
        <v>2124</v>
      </c>
    </row>
    <row r="161">
      <c r="A161" s="28" t="n">
        <v>160</v>
      </c>
      <c r="B161" s="28" t="inlineStr">
        <is>
          <t>Base</t>
        </is>
      </c>
      <c r="C161" s="28" t="inlineStr">
        <is>
          <t>1º Pavimento</t>
        </is>
      </c>
      <c r="D161" s="28" t="inlineStr">
        <is>
          <t>B</t>
        </is>
      </c>
      <c r="E161" s="28" t="n">
        <v>112</v>
      </c>
      <c r="F161" s="28" t="inlineStr">
        <is>
          <t>3.12.3</t>
        </is>
      </c>
      <c r="G161" s="28" t="inlineStr">
        <is>
          <t>Terraço 02</t>
        </is>
      </c>
      <c r="H161" s="28" t="inlineStr">
        <is>
          <t>11</t>
        </is>
      </c>
      <c r="I161" s="28" t="inlineStr">
        <is>
          <t>I30EL</t>
        </is>
      </c>
      <c r="J161" s="29" t="n">
        <v>16.42</v>
      </c>
      <c r="K161" s="29" t="n">
        <v>3.46</v>
      </c>
      <c r="L161" s="30" t="n">
        <v>2</v>
      </c>
      <c r="M161" s="25">
        <f>(J161+K161)*L161</f>
        <v/>
      </c>
      <c r="N161" s="25">
        <f>19.88*L161</f>
        <v/>
      </c>
      <c r="O161" s="25" t="n"/>
      <c r="P161" s="25" t="n"/>
      <c r="Q161" s="25" t="n"/>
      <c r="R161" s="25" t="n"/>
      <c r="S161" s="28" t="n">
        <v>2132</v>
      </c>
    </row>
    <row r="162">
      <c r="A162" s="28" t="n">
        <v>161</v>
      </c>
      <c r="B162" s="28" t="inlineStr">
        <is>
          <t>Base</t>
        </is>
      </c>
      <c r="C162" s="28" t="inlineStr">
        <is>
          <t>1º Pavimento</t>
        </is>
      </c>
      <c r="D162" s="28" t="inlineStr">
        <is>
          <t>B</t>
        </is>
      </c>
      <c r="E162" s="28" t="n">
        <v>112</v>
      </c>
      <c r="F162" s="28" t="inlineStr">
        <is>
          <t>3.12.3</t>
        </is>
      </c>
      <c r="G162" s="28" t="inlineStr">
        <is>
          <t>Terraço 03</t>
        </is>
      </c>
      <c r="H162" s="28" t="inlineStr">
        <is>
          <t>12</t>
        </is>
      </c>
      <c r="I162" s="28" t="inlineStr">
        <is>
          <t>I30EL</t>
        </is>
      </c>
      <c r="J162" s="29" t="n">
        <v>16.58</v>
      </c>
      <c r="K162" s="29" t="n">
        <v>3.55</v>
      </c>
      <c r="L162" s="30" t="n">
        <v>1</v>
      </c>
      <c r="M162" s="25">
        <f>(J162+K162)*L162</f>
        <v/>
      </c>
      <c r="N162" s="25">
        <f>20.13*L162</f>
        <v/>
      </c>
      <c r="O162" s="25" t="n"/>
      <c r="P162" s="25" t="n"/>
      <c r="Q162" s="25" t="n"/>
      <c r="R162" s="25" t="n"/>
      <c r="S162" s="28" t="n">
        <v>2140</v>
      </c>
    </row>
    <row r="163">
      <c r="A163" s="28" t="n">
        <v>162</v>
      </c>
      <c r="B163" s="28" t="inlineStr">
        <is>
          <t>Base</t>
        </is>
      </c>
      <c r="C163" s="28" t="inlineStr">
        <is>
          <t>1º Pavimento</t>
        </is>
      </c>
      <c r="D163" s="28" t="inlineStr">
        <is>
          <t>B</t>
        </is>
      </c>
      <c r="E163" s="28" t="n">
        <v>112</v>
      </c>
      <c r="F163" s="28" t="inlineStr">
        <is>
          <t>3.12.3</t>
        </is>
      </c>
      <c r="G163" s="28" t="inlineStr">
        <is>
          <t>Terraço 04</t>
        </is>
      </c>
      <c r="H163" s="28" t="inlineStr">
        <is>
          <t>13</t>
        </is>
      </c>
      <c r="I163" s="28" t="inlineStr">
        <is>
          <t>I30EL</t>
        </is>
      </c>
      <c r="J163" s="29" t="n">
        <v>21.84</v>
      </c>
      <c r="K163" s="29" t="n">
        <v>5.98</v>
      </c>
      <c r="L163" s="30" t="n">
        <v>2</v>
      </c>
      <c r="M163" s="25">
        <f>(J163+K163)*L163</f>
        <v/>
      </c>
      <c r="N163" s="25">
        <f>27.82*L163</f>
        <v/>
      </c>
      <c r="O163" s="25" t="n"/>
      <c r="P163" s="25" t="n"/>
      <c r="Q163" s="25" t="n"/>
      <c r="R163" s="25" t="n"/>
      <c r="S163" s="28" t="n">
        <v>2148</v>
      </c>
    </row>
    <row r="164">
      <c r="A164" s="28" t="n">
        <v>163</v>
      </c>
      <c r="B164" s="28" t="inlineStr">
        <is>
          <t>Base</t>
        </is>
      </c>
      <c r="C164" s="28" t="inlineStr">
        <is>
          <t>1º Pavimento</t>
        </is>
      </c>
      <c r="D164" s="28" t="inlineStr">
        <is>
          <t>B</t>
        </is>
      </c>
      <c r="E164" s="28" t="n">
        <v>112</v>
      </c>
      <c r="F164" s="28" t="inlineStr">
        <is>
          <t>3.12.3</t>
        </is>
      </c>
      <c r="G164" s="28" t="inlineStr">
        <is>
          <t>Terraço 05</t>
        </is>
      </c>
      <c r="H164" s="28" t="inlineStr">
        <is>
          <t>14</t>
        </is>
      </c>
      <c r="I164" s="28" t="inlineStr">
        <is>
          <t>I30EL</t>
        </is>
      </c>
      <c r="J164" s="29" t="n">
        <v>19.3</v>
      </c>
      <c r="K164" s="29" t="n">
        <v>5.31</v>
      </c>
      <c r="L164" s="30" t="n">
        <v>2</v>
      </c>
      <c r="M164" s="25">
        <f>(J164+K164)*L164</f>
        <v/>
      </c>
      <c r="N164" s="25">
        <f>24.61*L164</f>
        <v/>
      </c>
      <c r="O164" s="25" t="n"/>
      <c r="P164" s="25" t="n"/>
      <c r="Q164" s="25" t="n"/>
      <c r="R164" s="25" t="n"/>
      <c r="S164" s="28" t="n">
        <v>2156</v>
      </c>
    </row>
    <row r="165">
      <c r="A165" s="28" t="n">
        <v>164</v>
      </c>
      <c r="B165" s="28" t="inlineStr">
        <is>
          <t>Base</t>
        </is>
      </c>
      <c r="C165" s="28" t="inlineStr">
        <is>
          <t>1º Pavimento</t>
        </is>
      </c>
      <c r="D165" s="28" t="inlineStr">
        <is>
          <t>B</t>
        </is>
      </c>
      <c r="E165" s="28" t="n">
        <v>112</v>
      </c>
      <c r="F165" s="28" t="inlineStr">
        <is>
          <t>3.12.4</t>
        </is>
      </c>
      <c r="G165" s="28" t="inlineStr">
        <is>
          <t>Abas Terraços</t>
        </is>
      </c>
      <c r="H165" s="28" t="inlineStr">
        <is>
          <t>15</t>
        </is>
      </c>
      <c r="I165" s="28" t="inlineStr">
        <is>
          <t>I30EL</t>
        </is>
      </c>
      <c r="J165" s="29" t="n">
        <v>17.64</v>
      </c>
      <c r="K165" s="29" t="n">
        <v>32.71</v>
      </c>
      <c r="L165" s="30" t="n">
        <v>1</v>
      </c>
      <c r="M165" s="25">
        <f>(J165+K165)*L165</f>
        <v/>
      </c>
      <c r="N165" s="25">
        <f>50.35*L165</f>
        <v/>
      </c>
      <c r="O165" s="25">
        <f>50.35*L165</f>
        <v/>
      </c>
      <c r="P165" s="25" t="n"/>
      <c r="Q165" s="25" t="n"/>
      <c r="R165" s="25" t="n"/>
      <c r="S165" s="28" t="n">
        <v>2164</v>
      </c>
    </row>
    <row r="166">
      <c r="A166" s="28" t="n">
        <v>165</v>
      </c>
      <c r="B166" s="28" t="inlineStr">
        <is>
          <t>Base</t>
        </is>
      </c>
      <c r="C166" s="28" t="inlineStr">
        <is>
          <t>1º Pavimento</t>
        </is>
      </c>
      <c r="D166" s="28" t="inlineStr">
        <is>
          <t>B</t>
        </is>
      </c>
      <c r="E166" s="28" t="n">
        <v>112</v>
      </c>
      <c r="F166" s="28" t="inlineStr">
        <is>
          <t>3.12.4</t>
        </is>
      </c>
      <c r="G166" s="28" t="inlineStr">
        <is>
          <t>Abas Floreiras</t>
        </is>
      </c>
      <c r="H166" s="28" t="inlineStr">
        <is>
          <t>16</t>
        </is>
      </c>
      <c r="I166" s="28" t="inlineStr">
        <is>
          <t>I30EL</t>
        </is>
      </c>
      <c r="J166" s="29" t="n">
        <v>4.18</v>
      </c>
      <c r="K166" s="29" t="n">
        <v>27.94</v>
      </c>
      <c r="L166" s="30" t="n">
        <v>1</v>
      </c>
      <c r="M166" s="25">
        <f>(J166+K166)*L166</f>
        <v/>
      </c>
      <c r="N166" s="25">
        <f>32.12*L166</f>
        <v/>
      </c>
      <c r="O166" s="25">
        <f>32.12*L166</f>
        <v/>
      </c>
      <c r="P166" s="25" t="n"/>
      <c r="Q166" s="25" t="n"/>
      <c r="R166" s="25" t="n"/>
      <c r="S166" s="28" t="n">
        <v>2174</v>
      </c>
    </row>
    <row r="167">
      <c r="A167" s="28" t="n">
        <v>166</v>
      </c>
      <c r="B167" s="28" t="inlineStr">
        <is>
          <t>Base</t>
        </is>
      </c>
      <c r="C167" s="28" t="inlineStr">
        <is>
          <t>1º Pavimento</t>
        </is>
      </c>
      <c r="D167" s="28" t="inlineStr">
        <is>
          <t>B</t>
        </is>
      </c>
      <c r="E167" s="28" t="n">
        <v>112</v>
      </c>
      <c r="F167" s="28" t="inlineStr">
        <is>
          <t>3.12.4</t>
        </is>
      </c>
      <c r="G167" s="28" t="inlineStr">
        <is>
          <t>Caixões Perdidos</t>
        </is>
      </c>
      <c r="H167" s="28" t="inlineStr">
        <is>
          <t>17</t>
        </is>
      </c>
      <c r="I167" s="28" t="inlineStr">
        <is>
          <t>I30EL</t>
        </is>
      </c>
      <c r="J167" s="29" t="n">
        <v>19.27</v>
      </c>
      <c r="K167" s="29" t="n">
        <v>28.89</v>
      </c>
      <c r="L167" s="30" t="n">
        <v>1</v>
      </c>
      <c r="M167" s="25">
        <f>(J167+K167)*L167</f>
        <v/>
      </c>
      <c r="N167" s="25">
        <f>48.16*L167</f>
        <v/>
      </c>
      <c r="O167" s="25">
        <f>48.16*L167</f>
        <v/>
      </c>
      <c r="P167" s="25" t="n"/>
      <c r="Q167" s="25" t="n"/>
      <c r="R167" s="25" t="n"/>
      <c r="S167" s="28" t="n">
        <v>2184</v>
      </c>
    </row>
    <row r="168">
      <c r="A168" s="28" t="n">
        <v>167</v>
      </c>
      <c r="B168" s="28" t="inlineStr">
        <is>
          <t>Base</t>
        </is>
      </c>
      <c r="C168" s="28" t="inlineStr">
        <is>
          <t>1º Pavimento</t>
        </is>
      </c>
      <c r="D168" s="28" t="inlineStr">
        <is>
          <t>B</t>
        </is>
      </c>
      <c r="E168" s="28" t="n">
        <v>112</v>
      </c>
      <c r="F168" s="28" t="inlineStr">
        <is>
          <t>3.12.4</t>
        </is>
      </c>
      <c r="G168" s="28" t="inlineStr">
        <is>
          <t>Laje Impermeabilizada 01</t>
        </is>
      </c>
      <c r="H168" s="28" t="inlineStr">
        <is>
          <t>18</t>
        </is>
      </c>
      <c r="I168" s="28" t="inlineStr">
        <is>
          <t>I30EL</t>
        </is>
      </c>
      <c r="J168" s="29" t="n">
        <v>4.55</v>
      </c>
      <c r="K168" s="29" t="n">
        <v>4.13</v>
      </c>
      <c r="L168" s="30" t="n">
        <v>1</v>
      </c>
      <c r="M168" s="25">
        <f>(J168+K168)*L168</f>
        <v/>
      </c>
      <c r="N168" s="25">
        <f>8.68*L168</f>
        <v/>
      </c>
      <c r="O168" s="25">
        <f>8.68*L168</f>
        <v/>
      </c>
      <c r="P168" s="25" t="n"/>
      <c r="Q168" s="25" t="n"/>
      <c r="R168" s="25" t="n"/>
      <c r="S168" s="28" t="n">
        <v>2194</v>
      </c>
    </row>
    <row r="169">
      <c r="A169" s="28" t="n">
        <v>168</v>
      </c>
      <c r="B169" s="28" t="inlineStr">
        <is>
          <t>Base</t>
        </is>
      </c>
      <c r="C169" s="28" t="inlineStr">
        <is>
          <t>1º Pavimento</t>
        </is>
      </c>
      <c r="D169" s="28" t="inlineStr">
        <is>
          <t>B</t>
        </is>
      </c>
      <c r="E169" s="28" t="n">
        <v>112</v>
      </c>
      <c r="F169" s="28" t="inlineStr">
        <is>
          <t>3.12.4</t>
        </is>
      </c>
      <c r="G169" s="28" t="inlineStr">
        <is>
          <t>Laje Impermeabilizada 02</t>
        </is>
      </c>
      <c r="H169" s="28" t="inlineStr">
        <is>
          <t>19</t>
        </is>
      </c>
      <c r="I169" s="28" t="inlineStr">
        <is>
          <t>I30EL</t>
        </is>
      </c>
      <c r="J169" s="29" t="n">
        <v>3.93</v>
      </c>
      <c r="K169" s="29" t="n">
        <v>3.63</v>
      </c>
      <c r="L169" s="30" t="n">
        <v>2</v>
      </c>
      <c r="M169" s="25">
        <f>(J169+K169)*L169</f>
        <v/>
      </c>
      <c r="N169" s="25">
        <f>7.56*L169</f>
        <v/>
      </c>
      <c r="O169" s="25">
        <f>7.56*L169</f>
        <v/>
      </c>
      <c r="P169" s="25" t="n"/>
      <c r="Q169" s="25" t="n"/>
      <c r="R169" s="25" t="n"/>
      <c r="S169" s="28" t="n">
        <v>2204</v>
      </c>
    </row>
    <row r="170">
      <c r="A170" s="28" t="n">
        <v>169</v>
      </c>
      <c r="B170" s="28" t="inlineStr">
        <is>
          <t>Base</t>
        </is>
      </c>
      <c r="C170" s="28" t="inlineStr">
        <is>
          <t>1º Pavimento</t>
        </is>
      </c>
      <c r="D170" s="28" t="inlineStr">
        <is>
          <t>B</t>
        </is>
      </c>
      <c r="E170" s="28" t="n">
        <v>112</v>
      </c>
      <c r="F170" s="28" t="inlineStr">
        <is>
          <t>3.12.4</t>
        </is>
      </c>
      <c r="G170" s="28" t="inlineStr">
        <is>
          <t>Laje Impermeabilizada 03</t>
        </is>
      </c>
      <c r="H170" s="28" t="inlineStr">
        <is>
          <t>20</t>
        </is>
      </c>
      <c r="I170" s="28" t="inlineStr">
        <is>
          <t>I30EL</t>
        </is>
      </c>
      <c r="J170" s="29" t="n">
        <v>1.71</v>
      </c>
      <c r="K170" s="29" t="n">
        <v>1.83</v>
      </c>
      <c r="L170" s="30" t="n">
        <v>1</v>
      </c>
      <c r="M170" s="25">
        <f>(J170+K170)*L170</f>
        <v/>
      </c>
      <c r="N170" s="25">
        <f>3.54*L170</f>
        <v/>
      </c>
      <c r="O170" s="25">
        <f>3.54*L170</f>
        <v/>
      </c>
      <c r="P170" s="25" t="n"/>
      <c r="Q170" s="25" t="n"/>
      <c r="R170" s="25" t="n"/>
      <c r="S170" s="28" t="n">
        <v>2214</v>
      </c>
    </row>
    <row r="171">
      <c r="A171" s="28" t="n">
        <v>170</v>
      </c>
      <c r="B171" s="28" t="inlineStr">
        <is>
          <t>Base</t>
        </is>
      </c>
      <c r="C171" s="28" t="inlineStr">
        <is>
          <t>1º Pavimento</t>
        </is>
      </c>
      <c r="D171" s="28" t="inlineStr">
        <is>
          <t>B</t>
        </is>
      </c>
      <c r="E171" s="28" t="n">
        <v>112</v>
      </c>
      <c r="F171" s="28" t="inlineStr">
        <is>
          <t>3.12.4</t>
        </is>
      </c>
      <c r="G171" s="28" t="inlineStr">
        <is>
          <t>Laje Impermeabilizada 04</t>
        </is>
      </c>
      <c r="H171" s="28" t="inlineStr">
        <is>
          <t>21</t>
        </is>
      </c>
      <c r="I171" s="28" t="inlineStr">
        <is>
          <t>I30EL</t>
        </is>
      </c>
      <c r="J171" s="29" t="n">
        <v>5.14</v>
      </c>
      <c r="K171" s="29" t="n">
        <v>4.61</v>
      </c>
      <c r="L171" s="30" t="n">
        <v>1</v>
      </c>
      <c r="M171" s="25">
        <f>(J171+K171)*L171</f>
        <v/>
      </c>
      <c r="N171" s="25">
        <f>9.75*L171</f>
        <v/>
      </c>
      <c r="O171" s="25">
        <f>9.75*L171</f>
        <v/>
      </c>
      <c r="P171" s="25" t="n"/>
      <c r="Q171" s="25" t="n"/>
      <c r="R171" s="25" t="n"/>
      <c r="S171" s="28" t="n">
        <v>2224</v>
      </c>
    </row>
    <row r="172">
      <c r="A172" s="28" t="n">
        <v>171</v>
      </c>
      <c r="B172" s="28" t="inlineStr">
        <is>
          <t>Base</t>
        </is>
      </c>
      <c r="C172" s="28" t="inlineStr">
        <is>
          <t>1º Pavimento</t>
        </is>
      </c>
      <c r="D172" s="28" t="inlineStr">
        <is>
          <t>B</t>
        </is>
      </c>
      <c r="E172" s="28" t="n">
        <v>112</v>
      </c>
      <c r="F172" s="28" t="inlineStr">
        <is>
          <t>3.12.5</t>
        </is>
      </c>
      <c r="G172" s="28" t="inlineStr">
        <is>
          <t>Laje Impermeabilizada 05</t>
        </is>
      </c>
      <c r="H172" s="28" t="inlineStr">
        <is>
          <t>22</t>
        </is>
      </c>
      <c r="I172" s="28" t="inlineStr">
        <is>
          <t>M44A</t>
        </is>
      </c>
      <c r="J172" s="29" t="n">
        <v>2.56</v>
      </c>
      <c r="K172" s="29" t="n">
        <v>2.56</v>
      </c>
      <c r="L172" s="30" t="n">
        <v>4</v>
      </c>
      <c r="M172" s="25">
        <f>(J172+K172)*L172</f>
        <v/>
      </c>
      <c r="N172" s="25">
        <f>5.12*L172</f>
        <v/>
      </c>
      <c r="O172" s="25">
        <f>2.56*L172</f>
        <v/>
      </c>
      <c r="P172" s="25">
        <f>2.56*L172</f>
        <v/>
      </c>
      <c r="Q172" s="25" t="n"/>
      <c r="R172" s="25" t="n"/>
      <c r="S172" s="28" t="n">
        <v>2235</v>
      </c>
    </row>
    <row r="173">
      <c r="A173" s="28" t="n">
        <v>172</v>
      </c>
      <c r="B173" s="28" t="inlineStr">
        <is>
          <t>Base</t>
        </is>
      </c>
      <c r="C173" s="28" t="inlineStr">
        <is>
          <t>1º Pavimento</t>
        </is>
      </c>
      <c r="D173" s="28" t="inlineStr">
        <is>
          <t>B</t>
        </is>
      </c>
      <c r="E173" s="28" t="n">
        <v>112</v>
      </c>
      <c r="F173" s="28" t="inlineStr">
        <is>
          <t>3.12.6</t>
        </is>
      </c>
      <c r="G173" s="28" t="inlineStr">
        <is>
          <t>Floreiras</t>
        </is>
      </c>
      <c r="H173" s="28" t="inlineStr">
        <is>
          <t>23</t>
        </is>
      </c>
      <c r="I173" s="28" t="inlineStr">
        <is>
          <t>JP30AR05</t>
        </is>
      </c>
      <c r="J173" s="29" t="n">
        <v>22.96</v>
      </c>
      <c r="K173" s="29" t="n">
        <v>78.68000000000001</v>
      </c>
      <c r="L173" s="30" t="n">
        <v>1</v>
      </c>
      <c r="M173" s="25">
        <f>(J173+K173)*L173</f>
        <v/>
      </c>
      <c r="N173" s="25">
        <f>101.64*L173</f>
        <v/>
      </c>
      <c r="O173" s="25">
        <f>101.64*L173</f>
        <v/>
      </c>
      <c r="P173" s="25" t="n"/>
      <c r="Q173" s="25" t="n"/>
      <c r="R173" s="25">
        <f>22.96*L173</f>
        <v/>
      </c>
      <c r="S173" s="28" t="n">
        <v>2250</v>
      </c>
    </row>
    <row r="174">
      <c r="A174" s="28" t="n">
        <v>173</v>
      </c>
      <c r="B174" s="28" t="inlineStr">
        <is>
          <t>Base</t>
        </is>
      </c>
      <c r="C174" s="28" t="inlineStr">
        <is>
          <t>1º Pavimento</t>
        </is>
      </c>
      <c r="D174" s="28" t="inlineStr">
        <is>
          <t>B</t>
        </is>
      </c>
      <c r="E174" s="28" t="n">
        <v>112</v>
      </c>
      <c r="F174" s="28" t="inlineStr">
        <is>
          <t>3.12.7</t>
        </is>
      </c>
      <c r="G174" s="28" t="inlineStr">
        <is>
          <t>Cobertura Verde</t>
        </is>
      </c>
      <c r="H174" s="28" t="inlineStr">
        <is>
          <t>24</t>
        </is>
      </c>
      <c r="I174" s="28" t="inlineStr">
        <is>
          <t>M44AR05</t>
        </is>
      </c>
      <c r="J174" s="29" t="n">
        <v>15.1</v>
      </c>
      <c r="K174" s="29" t="n">
        <v>70.64</v>
      </c>
      <c r="L174" s="30" t="n">
        <v>2</v>
      </c>
      <c r="M174" s="25">
        <f>(J174+K174)*L174</f>
        <v/>
      </c>
      <c r="N174" s="25">
        <f>85.74*L174</f>
        <v/>
      </c>
      <c r="O174" s="25">
        <f>15.1*L174</f>
        <v/>
      </c>
      <c r="P174" s="25">
        <f>70.64*L174</f>
        <v/>
      </c>
      <c r="Q174" s="25" t="n"/>
      <c r="R174" s="25">
        <f>15.1*L174</f>
        <v/>
      </c>
      <c r="S174" s="28" t="n">
        <v>2265</v>
      </c>
    </row>
    <row r="175">
      <c r="A175" s="28" t="n">
        <v>174</v>
      </c>
      <c r="B175" s="28" t="inlineStr">
        <is>
          <t>Base</t>
        </is>
      </c>
      <c r="C175" s="28" t="inlineStr">
        <is>
          <t>1º Pavimento</t>
        </is>
      </c>
      <c r="D175" s="28" t="inlineStr">
        <is>
          <t>C</t>
        </is>
      </c>
      <c r="E175" s="28" t="n">
        <v>113</v>
      </c>
      <c r="F175" s="28" t="inlineStr">
        <is>
          <t>3.13.1</t>
        </is>
      </c>
      <c r="G175" s="28" t="inlineStr">
        <is>
          <t>Banho 01</t>
        </is>
      </c>
      <c r="H175" s="28" t="inlineStr">
        <is>
          <t>1</t>
        </is>
      </c>
      <c r="I175" s="28" t="inlineStr">
        <is>
          <t>I20EL</t>
        </is>
      </c>
      <c r="J175" s="29" t="n">
        <v>3.66</v>
      </c>
      <c r="K175" s="29" t="n">
        <v>8.140000000000001</v>
      </c>
      <c r="L175" s="30" t="n">
        <v>4</v>
      </c>
      <c r="M175" s="25">
        <f>(J175+K175)*L175</f>
        <v/>
      </c>
      <c r="N175" s="25">
        <f>11.8*L175</f>
        <v/>
      </c>
      <c r="O175" s="25" t="n"/>
      <c r="P175" s="25" t="n"/>
      <c r="Q175" s="25" t="n"/>
      <c r="R175" s="25" t="n"/>
      <c r="S175" s="28" t="n">
        <v>2294</v>
      </c>
    </row>
    <row r="176">
      <c r="A176" s="28" t="n">
        <v>175</v>
      </c>
      <c r="B176" s="28" t="inlineStr">
        <is>
          <t>Base</t>
        </is>
      </c>
      <c r="C176" s="28" t="inlineStr">
        <is>
          <t>1º Pavimento</t>
        </is>
      </c>
      <c r="D176" s="28" t="inlineStr">
        <is>
          <t>C</t>
        </is>
      </c>
      <c r="E176" s="28" t="n">
        <v>113</v>
      </c>
      <c r="F176" s="28" t="inlineStr">
        <is>
          <t>3.13.1</t>
        </is>
      </c>
      <c r="G176" s="28" t="inlineStr">
        <is>
          <t>Banho 02</t>
        </is>
      </c>
      <c r="H176" s="28" t="inlineStr">
        <is>
          <t>2</t>
        </is>
      </c>
      <c r="I176" s="28" t="inlineStr">
        <is>
          <t>I20EL</t>
        </is>
      </c>
      <c r="J176" s="29" t="n">
        <v>3.61</v>
      </c>
      <c r="K176" s="29" t="n">
        <v>8.130000000000001</v>
      </c>
      <c r="L176" s="30" t="n">
        <v>4</v>
      </c>
      <c r="M176" s="25">
        <f>(J176+K176)*L176</f>
        <v/>
      </c>
      <c r="N176" s="25">
        <f>11.74*L176</f>
        <v/>
      </c>
      <c r="O176" s="25" t="n"/>
      <c r="P176" s="25" t="n"/>
      <c r="Q176" s="25" t="n"/>
      <c r="R176" s="25" t="n"/>
      <c r="S176" s="28" t="n">
        <v>2302</v>
      </c>
    </row>
    <row r="177">
      <c r="A177" s="28" t="n">
        <v>176</v>
      </c>
      <c r="B177" s="28" t="inlineStr">
        <is>
          <t>Base</t>
        </is>
      </c>
      <c r="C177" s="28" t="inlineStr">
        <is>
          <t>1º Pavimento</t>
        </is>
      </c>
      <c r="D177" s="28" t="inlineStr">
        <is>
          <t>C</t>
        </is>
      </c>
      <c r="E177" s="28" t="n">
        <v>113</v>
      </c>
      <c r="F177" s="28" t="inlineStr">
        <is>
          <t>3.13.1</t>
        </is>
      </c>
      <c r="G177" s="28" t="inlineStr">
        <is>
          <t>Banho Master</t>
        </is>
      </c>
      <c r="H177" s="28" t="inlineStr">
        <is>
          <t>3</t>
        </is>
      </c>
      <c r="I177" s="28" t="inlineStr">
        <is>
          <t>I20EL</t>
        </is>
      </c>
      <c r="J177" s="29" t="n">
        <v>6.51</v>
      </c>
      <c r="K177" s="29" t="n">
        <v>7.37</v>
      </c>
      <c r="L177" s="30" t="n">
        <v>4</v>
      </c>
      <c r="M177" s="25">
        <f>(J177+K177)*L177</f>
        <v/>
      </c>
      <c r="N177" s="25">
        <f>13.88*L177</f>
        <v/>
      </c>
      <c r="O177" s="25" t="n"/>
      <c r="P177" s="25" t="n"/>
      <c r="Q177" s="25" t="n"/>
      <c r="R177" s="25" t="n"/>
      <c r="S177" s="28" t="n">
        <v>2310</v>
      </c>
    </row>
    <row r="178">
      <c r="A178" s="28" t="n">
        <v>177</v>
      </c>
      <c r="B178" s="28" t="inlineStr">
        <is>
          <t>Base</t>
        </is>
      </c>
      <c r="C178" s="28" t="inlineStr">
        <is>
          <t>1º Pavimento</t>
        </is>
      </c>
      <c r="D178" s="28" t="inlineStr">
        <is>
          <t>C</t>
        </is>
      </c>
      <c r="E178" s="28" t="n">
        <v>113</v>
      </c>
      <c r="F178" s="28" t="inlineStr">
        <is>
          <t>3.13.1</t>
        </is>
      </c>
      <c r="G178" s="28" t="inlineStr">
        <is>
          <t>Banho Serviço</t>
        </is>
      </c>
      <c r="H178" s="28" t="inlineStr">
        <is>
          <t>4</t>
        </is>
      </c>
      <c r="I178" s="28" t="inlineStr">
        <is>
          <t>I20EL</t>
        </is>
      </c>
      <c r="J178" s="29" t="n">
        <v>2.44</v>
      </c>
      <c r="K178" s="29" t="n">
        <v>5.01</v>
      </c>
      <c r="L178" s="30" t="n">
        <v>4</v>
      </c>
      <c r="M178" s="25">
        <f>(J178+K178)*L178</f>
        <v/>
      </c>
      <c r="N178" s="25">
        <f>7.45*L178</f>
        <v/>
      </c>
      <c r="O178" s="25" t="n"/>
      <c r="P178" s="25" t="n"/>
      <c r="Q178" s="25" t="n"/>
      <c r="R178" s="25" t="n"/>
      <c r="S178" s="28" t="n">
        <v>2318</v>
      </c>
    </row>
    <row r="179">
      <c r="A179" s="28" t="n">
        <v>178</v>
      </c>
      <c r="B179" s="28" t="inlineStr">
        <is>
          <t>Base</t>
        </is>
      </c>
      <c r="C179" s="28" t="inlineStr">
        <is>
          <t>1º Pavimento</t>
        </is>
      </c>
      <c r="D179" s="28" t="inlineStr">
        <is>
          <t>C</t>
        </is>
      </c>
      <c r="E179" s="28" t="n">
        <v>113</v>
      </c>
      <c r="F179" s="28" t="inlineStr">
        <is>
          <t>3.13.1</t>
        </is>
      </c>
      <c r="G179" s="28" t="inlineStr">
        <is>
          <t>Lavabo</t>
        </is>
      </c>
      <c r="H179" s="28" t="inlineStr">
        <is>
          <t>5</t>
        </is>
      </c>
      <c r="I179" s="28" t="inlineStr">
        <is>
          <t>I20EL</t>
        </is>
      </c>
      <c r="J179" s="29" t="n">
        <v>2.65</v>
      </c>
      <c r="K179" s="29" t="n">
        <v>1.84</v>
      </c>
      <c r="L179" s="30" t="n">
        <v>4</v>
      </c>
      <c r="M179" s="25">
        <f>(J179+K179)*L179</f>
        <v/>
      </c>
      <c r="N179" s="25">
        <f>4.49*L179</f>
        <v/>
      </c>
      <c r="O179" s="25" t="n"/>
      <c r="P179" s="25" t="n"/>
      <c r="Q179" s="25" t="n"/>
      <c r="R179" s="25" t="n"/>
      <c r="S179" s="28" t="n">
        <v>2326</v>
      </c>
    </row>
    <row r="180">
      <c r="A180" s="28" t="n">
        <v>179</v>
      </c>
      <c r="B180" s="28" t="inlineStr">
        <is>
          <t>Base</t>
        </is>
      </c>
      <c r="C180" s="28" t="inlineStr">
        <is>
          <t>1º Pavimento</t>
        </is>
      </c>
      <c r="D180" s="28" t="inlineStr">
        <is>
          <t>C</t>
        </is>
      </c>
      <c r="E180" s="28" t="n">
        <v>113</v>
      </c>
      <c r="F180" s="28" t="inlineStr">
        <is>
          <t>3.13.1</t>
        </is>
      </c>
      <c r="G180" s="28" t="inlineStr">
        <is>
          <t>Área de Serviço</t>
        </is>
      </c>
      <c r="H180" s="28" t="inlineStr">
        <is>
          <t>6</t>
        </is>
      </c>
      <c r="I180" s="28" t="inlineStr">
        <is>
          <t>I20EL</t>
        </is>
      </c>
      <c r="J180" s="29" t="n">
        <v>3.45</v>
      </c>
      <c r="K180" s="29" t="n">
        <v>2.1</v>
      </c>
      <c r="L180" s="30" t="n">
        <v>4</v>
      </c>
      <c r="M180" s="25">
        <f>(J180+K180)*L180</f>
        <v/>
      </c>
      <c r="N180" s="25">
        <f>5.55*L180</f>
        <v/>
      </c>
      <c r="O180" s="25" t="n"/>
      <c r="P180" s="25" t="n"/>
      <c r="Q180" s="25" t="n"/>
      <c r="R180" s="25" t="n"/>
      <c r="S180" s="28" t="n">
        <v>2334</v>
      </c>
    </row>
    <row r="181">
      <c r="A181" s="28" t="n">
        <v>180</v>
      </c>
      <c r="B181" s="28" t="inlineStr">
        <is>
          <t>Base</t>
        </is>
      </c>
      <c r="C181" s="28" t="inlineStr">
        <is>
          <t>1º Pavimento</t>
        </is>
      </c>
      <c r="D181" s="28" t="inlineStr">
        <is>
          <t>C</t>
        </is>
      </c>
      <c r="E181" s="28" t="n">
        <v>113</v>
      </c>
      <c r="F181" s="28" t="inlineStr">
        <is>
          <t>3.13.1</t>
        </is>
      </c>
      <c r="G181" s="28" t="inlineStr">
        <is>
          <t>Comp. Lixo</t>
        </is>
      </c>
      <c r="H181" s="28" t="inlineStr">
        <is>
          <t>7</t>
        </is>
      </c>
      <c r="I181" s="28" t="inlineStr">
        <is>
          <t>I20EL</t>
        </is>
      </c>
      <c r="J181" s="29" t="n">
        <v>1.09</v>
      </c>
      <c r="K181" s="29" t="n">
        <v>13.66</v>
      </c>
      <c r="L181" s="30" t="n">
        <v>2</v>
      </c>
      <c r="M181" s="25">
        <f>(J181+K181)*L181</f>
        <v/>
      </c>
      <c r="N181" s="25">
        <f>14.75*L181</f>
        <v/>
      </c>
      <c r="O181" s="25" t="n"/>
      <c r="P181" s="25" t="n"/>
      <c r="Q181" s="25" t="n"/>
      <c r="R181" s="25" t="n"/>
      <c r="S181" s="28" t="n">
        <v>2342</v>
      </c>
    </row>
    <row r="182">
      <c r="A182" s="28" t="n">
        <v>181</v>
      </c>
      <c r="B182" s="28" t="inlineStr">
        <is>
          <t>Base</t>
        </is>
      </c>
      <c r="C182" s="28" t="inlineStr">
        <is>
          <t>1º Pavimento</t>
        </is>
      </c>
      <c r="D182" s="28" t="inlineStr">
        <is>
          <t>C</t>
        </is>
      </c>
      <c r="E182" s="28" t="n">
        <v>113</v>
      </c>
      <c r="F182" s="28" t="inlineStr">
        <is>
          <t>3.13.1</t>
        </is>
      </c>
      <c r="G182" s="28" t="inlineStr">
        <is>
          <t>Tubulação Emergente</t>
        </is>
      </c>
      <c r="H182" s="28" t="inlineStr">
        <is>
          <t>8</t>
        </is>
      </c>
      <c r="I182" s="28" t="inlineStr">
        <is>
          <t>I20EL</t>
        </is>
      </c>
      <c r="J182" s="29" t="n">
        <v>0.16</v>
      </c>
      <c r="K182" s="29" t="n">
        <v>0.08</v>
      </c>
      <c r="L182" s="30" t="n">
        <v>4</v>
      </c>
      <c r="M182" s="25">
        <f>(J182+K182)*L182</f>
        <v/>
      </c>
      <c r="N182" s="25">
        <f>0.24*L182</f>
        <v/>
      </c>
      <c r="O182" s="25" t="n"/>
      <c r="P182" s="25" t="n"/>
      <c r="Q182" s="25" t="n"/>
      <c r="R182" s="25" t="n"/>
      <c r="S182" s="28" t="n">
        <v>2350</v>
      </c>
    </row>
    <row r="183">
      <c r="A183" s="28" t="n">
        <v>182</v>
      </c>
      <c r="B183" s="28" t="inlineStr">
        <is>
          <t>Base</t>
        </is>
      </c>
      <c r="C183" s="28" t="inlineStr">
        <is>
          <t>1º Pavimento</t>
        </is>
      </c>
      <c r="D183" s="28" t="inlineStr">
        <is>
          <t>C</t>
        </is>
      </c>
      <c r="E183" s="28" t="n">
        <v>113</v>
      </c>
      <c r="F183" s="28" t="inlineStr">
        <is>
          <t>3.13.2</t>
        </is>
      </c>
      <c r="G183" s="28" t="inlineStr">
        <is>
          <t>Shaft</t>
        </is>
      </c>
      <c r="H183" s="28" t="inlineStr">
        <is>
          <t>9</t>
        </is>
      </c>
      <c r="I183" s="28" t="inlineStr">
        <is>
          <t>I20EL</t>
        </is>
      </c>
      <c r="J183" s="29" t="n">
        <v>0.47</v>
      </c>
      <c r="K183" s="29" t="n">
        <v>0.77</v>
      </c>
      <c r="L183" s="30" t="n">
        <v>4</v>
      </c>
      <c r="M183" s="25">
        <f>(J183+K183)*L183</f>
        <v/>
      </c>
      <c r="N183" s="25">
        <f>1.24*L183</f>
        <v/>
      </c>
      <c r="O183" s="25">
        <f>1.24*L183</f>
        <v/>
      </c>
      <c r="P183" s="25" t="n"/>
      <c r="Q183" s="25" t="n"/>
      <c r="R183" s="25" t="n"/>
      <c r="S183" s="28" t="n">
        <v>2358</v>
      </c>
    </row>
    <row r="184">
      <c r="A184" s="28" t="n">
        <v>183</v>
      </c>
      <c r="B184" s="28" t="inlineStr">
        <is>
          <t>Base</t>
        </is>
      </c>
      <c r="C184" s="28" t="inlineStr">
        <is>
          <t>1º Pavimento</t>
        </is>
      </c>
      <c r="D184" s="28" t="inlineStr">
        <is>
          <t>C</t>
        </is>
      </c>
      <c r="E184" s="28" t="n">
        <v>113</v>
      </c>
      <c r="F184" s="28" t="inlineStr">
        <is>
          <t>3.13.3</t>
        </is>
      </c>
      <c r="G184" s="28" t="inlineStr">
        <is>
          <t>Terraço 01</t>
        </is>
      </c>
      <c r="H184" s="28" t="inlineStr">
        <is>
          <t>10</t>
        </is>
      </c>
      <c r="I184" s="28" t="inlineStr">
        <is>
          <t>I30EL</t>
        </is>
      </c>
      <c r="J184" s="29" t="n">
        <v>16.6</v>
      </c>
      <c r="K184" s="29" t="n">
        <v>3.55</v>
      </c>
      <c r="L184" s="30" t="n">
        <v>1</v>
      </c>
      <c r="M184" s="25">
        <f>(J184+K184)*L184</f>
        <v/>
      </c>
      <c r="N184" s="25">
        <f>20.15*L184</f>
        <v/>
      </c>
      <c r="O184" s="25" t="n"/>
      <c r="P184" s="25" t="n"/>
      <c r="Q184" s="25" t="n"/>
      <c r="R184" s="25" t="n"/>
      <c r="S184" s="28" t="n">
        <v>2369</v>
      </c>
    </row>
    <row r="185">
      <c r="A185" s="28" t="n">
        <v>184</v>
      </c>
      <c r="B185" s="28" t="inlineStr">
        <is>
          <t>Base</t>
        </is>
      </c>
      <c r="C185" s="28" t="inlineStr">
        <is>
          <t>1º Pavimento</t>
        </is>
      </c>
      <c r="D185" s="28" t="inlineStr">
        <is>
          <t>C</t>
        </is>
      </c>
      <c r="E185" s="28" t="n">
        <v>113</v>
      </c>
      <c r="F185" s="28" t="inlineStr">
        <is>
          <t>3.13.3</t>
        </is>
      </c>
      <c r="G185" s="28" t="inlineStr">
        <is>
          <t>Terraço 02</t>
        </is>
      </c>
      <c r="H185" s="28" t="inlineStr">
        <is>
          <t>11</t>
        </is>
      </c>
      <c r="I185" s="28" t="inlineStr">
        <is>
          <t>I30EL</t>
        </is>
      </c>
      <c r="J185" s="29" t="n">
        <v>16.42</v>
      </c>
      <c r="K185" s="29" t="n">
        <v>3.46</v>
      </c>
      <c r="L185" s="30" t="n">
        <v>2</v>
      </c>
      <c r="M185" s="25">
        <f>(J185+K185)*L185</f>
        <v/>
      </c>
      <c r="N185" s="25">
        <f>19.88*L185</f>
        <v/>
      </c>
      <c r="O185" s="25" t="n"/>
      <c r="P185" s="25" t="n"/>
      <c r="Q185" s="25" t="n"/>
      <c r="R185" s="25" t="n"/>
      <c r="S185" s="28" t="n">
        <v>2377</v>
      </c>
    </row>
    <row r="186">
      <c r="A186" s="28" t="n">
        <v>185</v>
      </c>
      <c r="B186" s="28" t="inlineStr">
        <is>
          <t>Base</t>
        </is>
      </c>
      <c r="C186" s="28" t="inlineStr">
        <is>
          <t>1º Pavimento</t>
        </is>
      </c>
      <c r="D186" s="28" t="inlineStr">
        <is>
          <t>C</t>
        </is>
      </c>
      <c r="E186" s="28" t="n">
        <v>113</v>
      </c>
      <c r="F186" s="28" t="inlineStr">
        <is>
          <t>3.13.3</t>
        </is>
      </c>
      <c r="G186" s="28" t="inlineStr">
        <is>
          <t>Terraço 03</t>
        </is>
      </c>
      <c r="H186" s="28" t="inlineStr">
        <is>
          <t>12</t>
        </is>
      </c>
      <c r="I186" s="28" t="inlineStr">
        <is>
          <t>I30EL</t>
        </is>
      </c>
      <c r="J186" s="29" t="n">
        <v>16.58</v>
      </c>
      <c r="K186" s="29" t="n">
        <v>3.55</v>
      </c>
      <c r="L186" s="30" t="n">
        <v>1</v>
      </c>
      <c r="M186" s="25">
        <f>(J186+K186)*L186</f>
        <v/>
      </c>
      <c r="N186" s="25">
        <f>20.13*L186</f>
        <v/>
      </c>
      <c r="O186" s="25" t="n"/>
      <c r="P186" s="25" t="n"/>
      <c r="Q186" s="25" t="n"/>
      <c r="R186" s="25" t="n"/>
      <c r="S186" s="28" t="n">
        <v>2385</v>
      </c>
    </row>
    <row r="187">
      <c r="A187" s="28" t="n">
        <v>186</v>
      </c>
      <c r="B187" s="28" t="inlineStr">
        <is>
          <t>Base</t>
        </is>
      </c>
      <c r="C187" s="28" t="inlineStr">
        <is>
          <t>1º Pavimento</t>
        </is>
      </c>
      <c r="D187" s="28" t="inlineStr">
        <is>
          <t>C</t>
        </is>
      </c>
      <c r="E187" s="28" t="n">
        <v>113</v>
      </c>
      <c r="F187" s="28" t="inlineStr">
        <is>
          <t>3.13.3</t>
        </is>
      </c>
      <c r="G187" s="28" t="inlineStr">
        <is>
          <t>Terraço 04</t>
        </is>
      </c>
      <c r="H187" s="28" t="inlineStr">
        <is>
          <t>13</t>
        </is>
      </c>
      <c r="I187" s="28" t="inlineStr">
        <is>
          <t>I30EL</t>
        </is>
      </c>
      <c r="J187" s="29" t="n">
        <v>21.84</v>
      </c>
      <c r="K187" s="29" t="n">
        <v>5.98</v>
      </c>
      <c r="L187" s="30" t="n">
        <v>2</v>
      </c>
      <c r="M187" s="25">
        <f>(J187+K187)*L187</f>
        <v/>
      </c>
      <c r="N187" s="25">
        <f>27.82*L187</f>
        <v/>
      </c>
      <c r="O187" s="25" t="n"/>
      <c r="P187" s="25" t="n"/>
      <c r="Q187" s="25" t="n"/>
      <c r="R187" s="25" t="n"/>
      <c r="S187" s="28" t="n">
        <v>2393</v>
      </c>
    </row>
    <row r="188">
      <c r="A188" s="28" t="n">
        <v>187</v>
      </c>
      <c r="B188" s="28" t="inlineStr">
        <is>
          <t>Base</t>
        </is>
      </c>
      <c r="C188" s="28" t="inlineStr">
        <is>
          <t>1º Pavimento</t>
        </is>
      </c>
      <c r="D188" s="28" t="inlineStr">
        <is>
          <t>C</t>
        </is>
      </c>
      <c r="E188" s="28" t="n">
        <v>113</v>
      </c>
      <c r="F188" s="28" t="inlineStr">
        <is>
          <t>3.13.3</t>
        </is>
      </c>
      <c r="G188" s="28" t="inlineStr">
        <is>
          <t>Terraço 05</t>
        </is>
      </c>
      <c r="H188" s="28" t="inlineStr">
        <is>
          <t>14</t>
        </is>
      </c>
      <c r="I188" s="28" t="inlineStr">
        <is>
          <t>I30EL</t>
        </is>
      </c>
      <c r="J188" s="29" t="n">
        <v>19.3</v>
      </c>
      <c r="K188" s="29" t="n">
        <v>5.31</v>
      </c>
      <c r="L188" s="30" t="n">
        <v>2</v>
      </c>
      <c r="M188" s="25">
        <f>(J188+K188)*L188</f>
        <v/>
      </c>
      <c r="N188" s="25">
        <f>24.61*L188</f>
        <v/>
      </c>
      <c r="O188" s="25" t="n"/>
      <c r="P188" s="25" t="n"/>
      <c r="Q188" s="25" t="n"/>
      <c r="R188" s="25" t="n"/>
      <c r="S188" s="28" t="n">
        <v>2401</v>
      </c>
    </row>
    <row r="189">
      <c r="A189" s="28" t="n">
        <v>188</v>
      </c>
      <c r="B189" s="28" t="inlineStr">
        <is>
          <t>Base</t>
        </is>
      </c>
      <c r="C189" s="28" t="inlineStr">
        <is>
          <t>1º Pavimento</t>
        </is>
      </c>
      <c r="D189" s="28" t="inlineStr">
        <is>
          <t>C</t>
        </is>
      </c>
      <c r="E189" s="28" t="n">
        <v>113</v>
      </c>
      <c r="F189" s="28" t="inlineStr">
        <is>
          <t>3.13.4</t>
        </is>
      </c>
      <c r="G189" s="28" t="inlineStr">
        <is>
          <t>Abas Terraços</t>
        </is>
      </c>
      <c r="H189" s="28" t="inlineStr">
        <is>
          <t>15</t>
        </is>
      </c>
      <c r="I189" s="28" t="inlineStr">
        <is>
          <t>I30EL</t>
        </is>
      </c>
      <c r="J189" s="29" t="n">
        <v>17.64</v>
      </c>
      <c r="K189" s="29" t="n">
        <v>32.71</v>
      </c>
      <c r="L189" s="30" t="n">
        <v>1</v>
      </c>
      <c r="M189" s="25">
        <f>(J189+K189)*L189</f>
        <v/>
      </c>
      <c r="N189" s="25">
        <f>50.35*L189</f>
        <v/>
      </c>
      <c r="O189" s="25">
        <f>50.35*L189</f>
        <v/>
      </c>
      <c r="P189" s="25" t="n"/>
      <c r="Q189" s="25" t="n"/>
      <c r="R189" s="25" t="n"/>
      <c r="S189" s="28" t="n">
        <v>2409</v>
      </c>
    </row>
    <row r="190">
      <c r="A190" s="28" t="n">
        <v>189</v>
      </c>
      <c r="B190" s="28" t="inlineStr">
        <is>
          <t>Base</t>
        </is>
      </c>
      <c r="C190" s="28" t="inlineStr">
        <is>
          <t>1º Pavimento</t>
        </is>
      </c>
      <c r="D190" s="28" t="inlineStr">
        <is>
          <t>C</t>
        </is>
      </c>
      <c r="E190" s="28" t="n">
        <v>113</v>
      </c>
      <c r="F190" s="28" t="inlineStr">
        <is>
          <t>3.13.4</t>
        </is>
      </c>
      <c r="G190" s="28" t="inlineStr">
        <is>
          <t>Abas Floreiras</t>
        </is>
      </c>
      <c r="H190" s="28" t="inlineStr">
        <is>
          <t>16</t>
        </is>
      </c>
      <c r="I190" s="28" t="inlineStr">
        <is>
          <t>I30EL</t>
        </is>
      </c>
      <c r="J190" s="29" t="n">
        <v>4.18</v>
      </c>
      <c r="K190" s="29" t="n">
        <v>27.94</v>
      </c>
      <c r="L190" s="30" t="n">
        <v>1</v>
      </c>
      <c r="M190" s="25">
        <f>(J190+K190)*L190</f>
        <v/>
      </c>
      <c r="N190" s="25">
        <f>32.12*L190</f>
        <v/>
      </c>
      <c r="O190" s="25">
        <f>32.12*L190</f>
        <v/>
      </c>
      <c r="P190" s="25" t="n"/>
      <c r="Q190" s="25" t="n"/>
      <c r="R190" s="25" t="n"/>
      <c r="S190" s="28" t="n">
        <v>2419</v>
      </c>
    </row>
    <row r="191">
      <c r="A191" s="28" t="n">
        <v>190</v>
      </c>
      <c r="B191" s="28" t="inlineStr">
        <is>
          <t>Base</t>
        </is>
      </c>
      <c r="C191" s="28" t="inlineStr">
        <is>
          <t>1º Pavimento</t>
        </is>
      </c>
      <c r="D191" s="28" t="inlineStr">
        <is>
          <t>C</t>
        </is>
      </c>
      <c r="E191" s="28" t="n">
        <v>113</v>
      </c>
      <c r="F191" s="28" t="inlineStr">
        <is>
          <t>3.13.4</t>
        </is>
      </c>
      <c r="G191" s="28" t="inlineStr">
        <is>
          <t>Caixões Perdidos</t>
        </is>
      </c>
      <c r="H191" s="28" t="inlineStr">
        <is>
          <t>17</t>
        </is>
      </c>
      <c r="I191" s="28" t="inlineStr">
        <is>
          <t>I30EL</t>
        </is>
      </c>
      <c r="J191" s="29" t="n">
        <v>19.28</v>
      </c>
      <c r="K191" s="29" t="n">
        <v>28.89</v>
      </c>
      <c r="L191" s="30" t="n">
        <v>1</v>
      </c>
      <c r="M191" s="25">
        <f>(J191+K191)*L191</f>
        <v/>
      </c>
      <c r="N191" s="25">
        <f>48.17*L191</f>
        <v/>
      </c>
      <c r="O191" s="25">
        <f>48.17*L191</f>
        <v/>
      </c>
      <c r="P191" s="25" t="n"/>
      <c r="Q191" s="25" t="n"/>
      <c r="R191" s="25" t="n"/>
      <c r="S191" s="28" t="n">
        <v>2429</v>
      </c>
    </row>
    <row r="192">
      <c r="A192" s="28" t="n">
        <v>191</v>
      </c>
      <c r="B192" s="28" t="inlineStr">
        <is>
          <t>Base</t>
        </is>
      </c>
      <c r="C192" s="28" t="inlineStr">
        <is>
          <t>1º Pavimento</t>
        </is>
      </c>
      <c r="D192" s="28" t="inlineStr">
        <is>
          <t>C</t>
        </is>
      </c>
      <c r="E192" s="28" t="n">
        <v>113</v>
      </c>
      <c r="F192" s="28" t="inlineStr">
        <is>
          <t>3.13.4</t>
        </is>
      </c>
      <c r="G192" s="28" t="inlineStr">
        <is>
          <t>Laje Impermeabilizada 01</t>
        </is>
      </c>
      <c r="H192" s="28" t="inlineStr">
        <is>
          <t>18</t>
        </is>
      </c>
      <c r="I192" s="28" t="inlineStr">
        <is>
          <t>I30EL</t>
        </is>
      </c>
      <c r="J192" s="29" t="n">
        <v>0.78</v>
      </c>
      <c r="K192" s="29" t="n">
        <v>1.08</v>
      </c>
      <c r="L192" s="30" t="n">
        <v>1</v>
      </c>
      <c r="M192" s="25">
        <f>(J192+K192)*L192</f>
        <v/>
      </c>
      <c r="N192" s="25">
        <f>1.86*L192</f>
        <v/>
      </c>
      <c r="O192" s="25">
        <f>1.86*L192</f>
        <v/>
      </c>
      <c r="P192" s="25" t="n"/>
      <c r="Q192" s="25" t="n"/>
      <c r="R192" s="25" t="n"/>
      <c r="S192" s="28" t="n">
        <v>2439</v>
      </c>
    </row>
    <row r="193">
      <c r="A193" s="28" t="n">
        <v>192</v>
      </c>
      <c r="B193" s="28" t="inlineStr">
        <is>
          <t>Base</t>
        </is>
      </c>
      <c r="C193" s="28" t="inlineStr">
        <is>
          <t>1º Pavimento</t>
        </is>
      </c>
      <c r="D193" s="28" t="inlineStr">
        <is>
          <t>C</t>
        </is>
      </c>
      <c r="E193" s="28" t="n">
        <v>113</v>
      </c>
      <c r="F193" s="28" t="inlineStr">
        <is>
          <t>3.13.4</t>
        </is>
      </c>
      <c r="G193" s="28" t="inlineStr">
        <is>
          <t>Laje Impermeabilizada 02</t>
        </is>
      </c>
      <c r="H193" s="28" t="inlineStr">
        <is>
          <t>19</t>
        </is>
      </c>
      <c r="I193" s="28" t="inlineStr">
        <is>
          <t>I30EL</t>
        </is>
      </c>
      <c r="J193" s="29" t="n">
        <v>1.71</v>
      </c>
      <c r="K193" s="29" t="n">
        <v>1.83</v>
      </c>
      <c r="L193" s="30" t="n">
        <v>1</v>
      </c>
      <c r="M193" s="25">
        <f>(J193+K193)*L193</f>
        <v/>
      </c>
      <c r="N193" s="25">
        <f>3.54*L193</f>
        <v/>
      </c>
      <c r="O193" s="25">
        <f>3.54*L193</f>
        <v/>
      </c>
      <c r="P193" s="25" t="n"/>
      <c r="Q193" s="25" t="n"/>
      <c r="R193" s="25" t="n"/>
      <c r="S193" s="28" t="n">
        <v>2449</v>
      </c>
    </row>
    <row r="194">
      <c r="A194" s="28" t="n">
        <v>193</v>
      </c>
      <c r="B194" s="28" t="inlineStr">
        <is>
          <t>Base</t>
        </is>
      </c>
      <c r="C194" s="28" t="inlineStr">
        <is>
          <t>1º Pavimento</t>
        </is>
      </c>
      <c r="D194" s="28" t="inlineStr">
        <is>
          <t>C</t>
        </is>
      </c>
      <c r="E194" s="28" t="n">
        <v>113</v>
      </c>
      <c r="F194" s="28" t="inlineStr">
        <is>
          <t>3.13.4</t>
        </is>
      </c>
      <c r="G194" s="28" t="inlineStr">
        <is>
          <t>Laje Impermeabilizada 03</t>
        </is>
      </c>
      <c r="H194" s="28" t="inlineStr">
        <is>
          <t>20</t>
        </is>
      </c>
      <c r="I194" s="28" t="inlineStr">
        <is>
          <t>I30EL</t>
        </is>
      </c>
      <c r="J194" s="29" t="n">
        <v>2.42</v>
      </c>
      <c r="K194" s="29" t="n">
        <v>2.06</v>
      </c>
      <c r="L194" s="30" t="n">
        <v>1</v>
      </c>
      <c r="M194" s="25">
        <f>(J194+K194)*L194</f>
        <v/>
      </c>
      <c r="N194" s="25">
        <f>4.48*L194</f>
        <v/>
      </c>
      <c r="O194" s="25">
        <f>4.48*L194</f>
        <v/>
      </c>
      <c r="P194" s="25" t="n"/>
      <c r="Q194" s="25" t="n"/>
      <c r="R194" s="25" t="n"/>
      <c r="S194" s="28" t="n">
        <v>2459</v>
      </c>
    </row>
    <row r="195">
      <c r="A195" s="28" t="n">
        <v>194</v>
      </c>
      <c r="B195" s="28" t="inlineStr">
        <is>
          <t>Base</t>
        </is>
      </c>
      <c r="C195" s="28" t="inlineStr">
        <is>
          <t>1º Pavimento</t>
        </is>
      </c>
      <c r="D195" s="28" t="inlineStr">
        <is>
          <t>C</t>
        </is>
      </c>
      <c r="E195" s="28" t="n">
        <v>113</v>
      </c>
      <c r="F195" s="28" t="inlineStr">
        <is>
          <t>3.13.5</t>
        </is>
      </c>
      <c r="G195" s="28" t="inlineStr">
        <is>
          <t>Laje Impermeabilizada 04</t>
        </is>
      </c>
      <c r="H195" s="28" t="inlineStr">
        <is>
          <t>21</t>
        </is>
      </c>
      <c r="I195" s="28" t="inlineStr">
        <is>
          <t>M44A</t>
        </is>
      </c>
      <c r="J195" s="29" t="n">
        <v>7.06</v>
      </c>
      <c r="K195" s="29" t="n">
        <v>5.47</v>
      </c>
      <c r="L195" s="30" t="n">
        <v>1</v>
      </c>
      <c r="M195" s="25">
        <f>(J195+K195)*L195</f>
        <v/>
      </c>
      <c r="N195" s="25">
        <f>12.53*L195</f>
        <v/>
      </c>
      <c r="O195" s="25">
        <f>7.06*L195</f>
        <v/>
      </c>
      <c r="P195" s="25">
        <f>5.47*L195</f>
        <v/>
      </c>
      <c r="Q195" s="25" t="n"/>
      <c r="R195" s="25" t="n"/>
      <c r="S195" s="28" t="n">
        <v>2470</v>
      </c>
    </row>
    <row r="196">
      <c r="A196" s="28" t="n">
        <v>195</v>
      </c>
      <c r="B196" s="28" t="inlineStr">
        <is>
          <t>Base</t>
        </is>
      </c>
      <c r="C196" s="28" t="inlineStr">
        <is>
          <t>1º Pavimento</t>
        </is>
      </c>
      <c r="D196" s="28" t="inlineStr">
        <is>
          <t>C</t>
        </is>
      </c>
      <c r="E196" s="28" t="n">
        <v>113</v>
      </c>
      <c r="F196" s="28" t="inlineStr">
        <is>
          <t>3.13.5</t>
        </is>
      </c>
      <c r="G196" s="28" t="inlineStr">
        <is>
          <t>Laje Impermeabilizada 05</t>
        </is>
      </c>
      <c r="H196" s="28" t="inlineStr">
        <is>
          <t>22</t>
        </is>
      </c>
      <c r="I196" s="28" t="inlineStr">
        <is>
          <t>M44A</t>
        </is>
      </c>
      <c r="J196" s="29" t="n">
        <v>2.56</v>
      </c>
      <c r="K196" s="29" t="n">
        <v>2.56</v>
      </c>
      <c r="L196" s="30" t="n">
        <v>4</v>
      </c>
      <c r="M196" s="25">
        <f>(J196+K196)*L196</f>
        <v/>
      </c>
      <c r="N196" s="25">
        <f>5.12*L196</f>
        <v/>
      </c>
      <c r="O196" s="25">
        <f>2.56*L196</f>
        <v/>
      </c>
      <c r="P196" s="25">
        <f>2.56*L196</f>
        <v/>
      </c>
      <c r="Q196" s="25" t="n"/>
      <c r="R196" s="25" t="n"/>
      <c r="S196" s="28" t="n">
        <v>2484</v>
      </c>
    </row>
    <row r="197">
      <c r="A197" s="28" t="n">
        <v>196</v>
      </c>
      <c r="B197" s="28" t="inlineStr">
        <is>
          <t>Base</t>
        </is>
      </c>
      <c r="C197" s="28" t="inlineStr">
        <is>
          <t>1º Pavimento</t>
        </is>
      </c>
      <c r="D197" s="28" t="inlineStr">
        <is>
          <t>C</t>
        </is>
      </c>
      <c r="E197" s="28" t="n">
        <v>113</v>
      </c>
      <c r="F197" s="28" t="inlineStr">
        <is>
          <t>3.13.6</t>
        </is>
      </c>
      <c r="G197" s="28" t="inlineStr">
        <is>
          <t>Floreiras</t>
        </is>
      </c>
      <c r="H197" s="28" t="inlineStr">
        <is>
          <t>23</t>
        </is>
      </c>
      <c r="I197" s="28" t="inlineStr">
        <is>
          <t>JP30AR05</t>
        </is>
      </c>
      <c r="J197" s="29" t="n">
        <v>22.96</v>
      </c>
      <c r="K197" s="29" t="n">
        <v>78.68000000000001</v>
      </c>
      <c r="L197" s="30" t="n">
        <v>1</v>
      </c>
      <c r="M197" s="25">
        <f>(J197+K197)*L197</f>
        <v/>
      </c>
      <c r="N197" s="25">
        <f>101.64*L197</f>
        <v/>
      </c>
      <c r="O197" s="25">
        <f>101.64*L197</f>
        <v/>
      </c>
      <c r="P197" s="25" t="n"/>
      <c r="Q197" s="25" t="n"/>
      <c r="R197" s="25">
        <f>22.96*L197</f>
        <v/>
      </c>
      <c r="S197" s="28" t="n">
        <v>2499</v>
      </c>
    </row>
    <row r="198">
      <c r="A198" s="28" t="n">
        <v>197</v>
      </c>
      <c r="B198" s="28" t="inlineStr">
        <is>
          <t>Base</t>
        </is>
      </c>
      <c r="C198" s="28" t="inlineStr">
        <is>
          <t>1º Pavimento</t>
        </is>
      </c>
      <c r="D198" s="28" t="inlineStr">
        <is>
          <t>C</t>
        </is>
      </c>
      <c r="E198" s="28" t="n">
        <v>113</v>
      </c>
      <c r="F198" s="28" t="inlineStr">
        <is>
          <t>3.13.7</t>
        </is>
      </c>
      <c r="G198" s="28" t="inlineStr">
        <is>
          <t>Cobertura Verde</t>
        </is>
      </c>
      <c r="H198" s="28" t="inlineStr">
        <is>
          <t>24</t>
        </is>
      </c>
      <c r="I198" s="28" t="inlineStr">
        <is>
          <t>M44AR05</t>
        </is>
      </c>
      <c r="J198" s="29" t="n">
        <v>15.1</v>
      </c>
      <c r="K198" s="29" t="n">
        <v>70.64</v>
      </c>
      <c r="L198" s="30" t="n">
        <v>2</v>
      </c>
      <c r="M198" s="25">
        <f>(J198+K198)*L198</f>
        <v/>
      </c>
      <c r="N198" s="25">
        <f>85.74*L198</f>
        <v/>
      </c>
      <c r="O198" s="25">
        <f>15.1*L198</f>
        <v/>
      </c>
      <c r="P198" s="25">
        <f>70.64*L198</f>
        <v/>
      </c>
      <c r="Q198" s="25" t="n"/>
      <c r="R198" s="25">
        <f>15.1*L198</f>
        <v/>
      </c>
      <c r="S198" s="28" t="n">
        <v>2514</v>
      </c>
    </row>
    <row r="199">
      <c r="A199" s="28" t="n">
        <v>198</v>
      </c>
      <c r="B199" s="28" t="inlineStr">
        <is>
          <t>Base</t>
        </is>
      </c>
      <c r="C199" s="28" t="inlineStr">
        <is>
          <t>2º Pavimento</t>
        </is>
      </c>
      <c r="D199" s="28" t="inlineStr">
        <is>
          <t>A</t>
        </is>
      </c>
      <c r="E199" s="28" t="n">
        <v>114</v>
      </c>
      <c r="F199" s="28" t="inlineStr">
        <is>
          <t>3.14.1</t>
        </is>
      </c>
      <c r="G199" s="28" t="inlineStr">
        <is>
          <t>Banho Serviço</t>
        </is>
      </c>
      <c r="H199" s="28" t="inlineStr">
        <is>
          <t>1</t>
        </is>
      </c>
      <c r="I199" s="28" t="inlineStr">
        <is>
          <t>I20EL</t>
        </is>
      </c>
      <c r="J199" s="29" t="n">
        <v>2.32</v>
      </c>
      <c r="K199" s="29" t="n">
        <v>4.95</v>
      </c>
      <c r="L199" s="30" t="n">
        <v>5</v>
      </c>
      <c r="M199" s="25">
        <f>(J199+K199)*L199</f>
        <v/>
      </c>
      <c r="N199" s="25">
        <f>7.27*L199</f>
        <v/>
      </c>
      <c r="O199" s="25" t="n"/>
      <c r="P199" s="25" t="n"/>
      <c r="Q199" s="25" t="n"/>
      <c r="R199" s="25" t="n"/>
      <c r="S199" s="28" t="n">
        <v>2543</v>
      </c>
    </row>
    <row r="200">
      <c r="A200" s="28" t="n">
        <v>199</v>
      </c>
      <c r="B200" s="28" t="inlineStr">
        <is>
          <t>Base</t>
        </is>
      </c>
      <c r="C200" s="28" t="inlineStr">
        <is>
          <t>2º Pavimento</t>
        </is>
      </c>
      <c r="D200" s="28" t="inlineStr">
        <is>
          <t>A</t>
        </is>
      </c>
      <c r="E200" s="28" t="n">
        <v>114</v>
      </c>
      <c r="F200" s="28" t="inlineStr">
        <is>
          <t>3.14.1</t>
        </is>
      </c>
      <c r="G200" s="28" t="inlineStr">
        <is>
          <t>Banho Piscina</t>
        </is>
      </c>
      <c r="H200" s="28" t="inlineStr">
        <is>
          <t>2</t>
        </is>
      </c>
      <c r="I200" s="28" t="inlineStr">
        <is>
          <t>I20EL</t>
        </is>
      </c>
      <c r="J200" s="29" t="n">
        <v>2.59</v>
      </c>
      <c r="K200" s="29" t="n">
        <v>1.81</v>
      </c>
      <c r="L200" s="30" t="n">
        <v>5</v>
      </c>
      <c r="M200" s="25">
        <f>(J200+K200)*L200</f>
        <v/>
      </c>
      <c r="N200" s="25">
        <f>4.4*L200</f>
        <v/>
      </c>
      <c r="O200" s="25" t="n"/>
      <c r="P200" s="25" t="n"/>
      <c r="Q200" s="25" t="n"/>
      <c r="R200" s="25" t="n"/>
      <c r="S200" s="28" t="n">
        <v>2551</v>
      </c>
    </row>
    <row r="201">
      <c r="A201" s="28" t="n">
        <v>200</v>
      </c>
      <c r="B201" s="28" t="inlineStr">
        <is>
          <t>Base</t>
        </is>
      </c>
      <c r="C201" s="28" t="inlineStr">
        <is>
          <t>2º Pavimento</t>
        </is>
      </c>
      <c r="D201" s="28" t="inlineStr">
        <is>
          <t>A</t>
        </is>
      </c>
      <c r="E201" s="28" t="n">
        <v>114</v>
      </c>
      <c r="F201" s="28" t="inlineStr">
        <is>
          <t>3.14.1</t>
        </is>
      </c>
      <c r="G201" s="28" t="inlineStr">
        <is>
          <t>Lavabo</t>
        </is>
      </c>
      <c r="H201" s="28" t="inlineStr">
        <is>
          <t>3</t>
        </is>
      </c>
      <c r="I201" s="28" t="inlineStr">
        <is>
          <t>I20EL</t>
        </is>
      </c>
      <c r="J201" s="29" t="n">
        <v>2.64</v>
      </c>
      <c r="K201" s="29" t="n">
        <v>1.86</v>
      </c>
      <c r="L201" s="30" t="n">
        <v>5</v>
      </c>
      <c r="M201" s="25">
        <f>(J201+K201)*L201</f>
        <v/>
      </c>
      <c r="N201" s="25">
        <f>4.5*L201</f>
        <v/>
      </c>
      <c r="O201" s="25" t="n"/>
      <c r="P201" s="25" t="n"/>
      <c r="Q201" s="25" t="n"/>
      <c r="R201" s="25" t="n"/>
      <c r="S201" s="28" t="n">
        <v>2559</v>
      </c>
    </row>
    <row r="202">
      <c r="A202" s="28" t="n">
        <v>201</v>
      </c>
      <c r="B202" s="28" t="inlineStr">
        <is>
          <t>Base</t>
        </is>
      </c>
      <c r="C202" s="28" t="inlineStr">
        <is>
          <t>2º Pavimento</t>
        </is>
      </c>
      <c r="D202" s="28" t="inlineStr">
        <is>
          <t>A</t>
        </is>
      </c>
      <c r="E202" s="28" t="n">
        <v>114</v>
      </c>
      <c r="F202" s="28" t="inlineStr">
        <is>
          <t>3.14.1</t>
        </is>
      </c>
      <c r="G202" s="28" t="inlineStr">
        <is>
          <t>Terraço Serviço</t>
        </is>
      </c>
      <c r="H202" s="28" t="inlineStr">
        <is>
          <t>4</t>
        </is>
      </c>
      <c r="I202" s="28" t="inlineStr">
        <is>
          <t>I20EL</t>
        </is>
      </c>
      <c r="J202" s="29" t="n">
        <v>4.72</v>
      </c>
      <c r="K202" s="29" t="n">
        <v>3.41</v>
      </c>
      <c r="L202" s="30" t="n">
        <v>5</v>
      </c>
      <c r="M202" s="25">
        <f>(J202+K202)*L202</f>
        <v/>
      </c>
      <c r="N202" s="25">
        <f>8.13*L202</f>
        <v/>
      </c>
      <c r="O202" s="25" t="n"/>
      <c r="P202" s="25" t="n"/>
      <c r="Q202" s="25" t="n"/>
      <c r="R202" s="25" t="n"/>
      <c r="S202" s="28" t="n">
        <v>2567</v>
      </c>
    </row>
    <row r="203">
      <c r="A203" s="28" t="n">
        <v>202</v>
      </c>
      <c r="B203" s="28" t="inlineStr">
        <is>
          <t>Base</t>
        </is>
      </c>
      <c r="C203" s="28" t="inlineStr">
        <is>
          <t>2º Pavimento</t>
        </is>
      </c>
      <c r="D203" s="28" t="inlineStr">
        <is>
          <t>A</t>
        </is>
      </c>
      <c r="E203" s="28" t="n">
        <v>114</v>
      </c>
      <c r="F203" s="28" t="inlineStr">
        <is>
          <t>3.14.1</t>
        </is>
      </c>
      <c r="G203" s="28" t="inlineStr">
        <is>
          <t>Lixo</t>
        </is>
      </c>
      <c r="H203" s="28" t="inlineStr">
        <is>
          <t>5</t>
        </is>
      </c>
      <c r="I203" s="28" t="inlineStr">
        <is>
          <t>I20EL</t>
        </is>
      </c>
      <c r="J203" s="29" t="n">
        <v>0.78</v>
      </c>
      <c r="K203" s="29" t="n">
        <v>12.32</v>
      </c>
      <c r="L203" s="30" t="n">
        <v>1</v>
      </c>
      <c r="M203" s="25">
        <f>(J203+K203)*L203</f>
        <v/>
      </c>
      <c r="N203" s="25">
        <f>13.1*L203</f>
        <v/>
      </c>
      <c r="O203" s="25" t="n"/>
      <c r="P203" s="25" t="n"/>
      <c r="Q203" s="25" t="n"/>
      <c r="R203" s="25" t="n"/>
      <c r="S203" s="28" t="n">
        <v>2575</v>
      </c>
    </row>
    <row r="204">
      <c r="A204" s="28" t="n">
        <v>203</v>
      </c>
      <c r="B204" s="28" t="inlineStr">
        <is>
          <t>Base</t>
        </is>
      </c>
      <c r="C204" s="28" t="inlineStr">
        <is>
          <t>2º Pavimento</t>
        </is>
      </c>
      <c r="D204" s="28" t="inlineStr">
        <is>
          <t>A</t>
        </is>
      </c>
      <c r="E204" s="28" t="n">
        <v>114</v>
      </c>
      <c r="F204" s="28" t="inlineStr">
        <is>
          <t>3.14.1</t>
        </is>
      </c>
      <c r="G204" s="28" t="inlineStr">
        <is>
          <t>Comp. Lixo</t>
        </is>
      </c>
      <c r="H204" s="28" t="inlineStr">
        <is>
          <t>6</t>
        </is>
      </c>
      <c r="I204" s="28" t="inlineStr">
        <is>
          <t>I20EL</t>
        </is>
      </c>
      <c r="J204" s="29" t="n">
        <v>1.09</v>
      </c>
      <c r="K204" s="29" t="n">
        <v>13.66</v>
      </c>
      <c r="L204" s="30" t="n">
        <v>2</v>
      </c>
      <c r="M204" s="25">
        <f>(J204+K204)*L204</f>
        <v/>
      </c>
      <c r="N204" s="25">
        <f>14.75*L204</f>
        <v/>
      </c>
      <c r="O204" s="25" t="n"/>
      <c r="P204" s="25" t="n"/>
      <c r="Q204" s="25" t="n"/>
      <c r="R204" s="25" t="n"/>
      <c r="S204" s="28" t="n">
        <v>2583</v>
      </c>
    </row>
    <row r="205">
      <c r="A205" s="28" t="n">
        <v>204</v>
      </c>
      <c r="B205" s="28" t="inlineStr">
        <is>
          <t>Base</t>
        </is>
      </c>
      <c r="C205" s="28" t="inlineStr">
        <is>
          <t>2º Pavimento</t>
        </is>
      </c>
      <c r="D205" s="28" t="inlineStr">
        <is>
          <t>A</t>
        </is>
      </c>
      <c r="E205" s="28" t="n">
        <v>114</v>
      </c>
      <c r="F205" s="28" t="inlineStr">
        <is>
          <t>3.14.1</t>
        </is>
      </c>
      <c r="G205" s="28" t="inlineStr">
        <is>
          <t>Tubulação Emergente</t>
        </is>
      </c>
      <c r="H205" s="28" t="inlineStr">
        <is>
          <t>6</t>
        </is>
      </c>
      <c r="I205" s="28" t="inlineStr">
        <is>
          <t>I20EL</t>
        </is>
      </c>
      <c r="J205" s="29" t="n">
        <v>0.3</v>
      </c>
      <c r="K205" s="29" t="n">
        <v>0.15</v>
      </c>
      <c r="L205" s="30" t="n">
        <v>5</v>
      </c>
      <c r="M205" s="25">
        <f>(J205+K205)*L205</f>
        <v/>
      </c>
      <c r="N205" s="25">
        <f>0.45*L205</f>
        <v/>
      </c>
      <c r="O205" s="25" t="n"/>
      <c r="P205" s="25" t="n"/>
      <c r="Q205" s="25" t="n"/>
      <c r="R205" s="25" t="n"/>
      <c r="S205" s="28" t="n">
        <v>2591</v>
      </c>
    </row>
    <row r="206">
      <c r="A206" s="28" t="n">
        <v>205</v>
      </c>
      <c r="B206" s="28" t="inlineStr">
        <is>
          <t>Base</t>
        </is>
      </c>
      <c r="C206" s="28" t="inlineStr">
        <is>
          <t>2º Pavimento</t>
        </is>
      </c>
      <c r="D206" s="28" t="inlineStr">
        <is>
          <t>A</t>
        </is>
      </c>
      <c r="E206" s="28" t="n">
        <v>114</v>
      </c>
      <c r="F206" s="28" t="inlineStr">
        <is>
          <t>3.14.2</t>
        </is>
      </c>
      <c r="G206" s="28" t="inlineStr">
        <is>
          <t>Shaft</t>
        </is>
      </c>
      <c r="H206" s="28" t="inlineStr">
        <is>
          <t>7</t>
        </is>
      </c>
      <c r="I206" s="28" t="inlineStr">
        <is>
          <t>I20EL</t>
        </is>
      </c>
      <c r="J206" s="29" t="n">
        <v>0.47</v>
      </c>
      <c r="K206" s="29" t="n">
        <v>0.68</v>
      </c>
      <c r="L206" s="30" t="n">
        <v>5</v>
      </c>
      <c r="M206" s="25">
        <f>(J206+K206)*L206</f>
        <v/>
      </c>
      <c r="N206" s="25">
        <f>1.15*L206</f>
        <v/>
      </c>
      <c r="O206" s="25">
        <f>1.15*L206</f>
        <v/>
      </c>
      <c r="P206" s="25" t="n"/>
      <c r="Q206" s="25" t="n"/>
      <c r="R206" s="25" t="n"/>
      <c r="S206" s="28" t="n">
        <v>2599</v>
      </c>
    </row>
    <row r="207">
      <c r="A207" s="28" t="n">
        <v>206</v>
      </c>
      <c r="B207" s="28" t="inlineStr">
        <is>
          <t>Base</t>
        </is>
      </c>
      <c r="C207" s="28" t="inlineStr">
        <is>
          <t>2º Pavimento</t>
        </is>
      </c>
      <c r="D207" s="28" t="inlineStr">
        <is>
          <t>A</t>
        </is>
      </c>
      <c r="E207" s="28" t="n">
        <v>114</v>
      </c>
      <c r="F207" s="28" t="inlineStr">
        <is>
          <t>3.14.3</t>
        </is>
      </c>
      <c r="G207" s="28" t="inlineStr">
        <is>
          <t>Aba</t>
        </is>
      </c>
      <c r="H207" s="28" t="inlineStr">
        <is>
          <t>9</t>
        </is>
      </c>
      <c r="I207" s="28" t="inlineStr">
        <is>
          <t>I30EL</t>
        </is>
      </c>
      <c r="J207" s="29" t="n">
        <v>32.35</v>
      </c>
      <c r="K207" s="29" t="n">
        <v>35.32</v>
      </c>
      <c r="L207" s="30" t="n">
        <v>1</v>
      </c>
      <c r="M207" s="25">
        <f>(J207+K207)*L207</f>
        <v/>
      </c>
      <c r="N207" s="25">
        <f>67.67*L207</f>
        <v/>
      </c>
      <c r="O207" s="25">
        <f>67.67*L207</f>
        <v/>
      </c>
      <c r="P207" s="25" t="n"/>
      <c r="Q207" s="25" t="n"/>
      <c r="R207" s="25" t="n"/>
      <c r="S207" s="28" t="n">
        <v>2610</v>
      </c>
    </row>
    <row r="208">
      <c r="A208" s="28" t="n">
        <v>207</v>
      </c>
      <c r="B208" s="28" t="inlineStr">
        <is>
          <t>Base</t>
        </is>
      </c>
      <c r="C208" s="28" t="inlineStr">
        <is>
          <t>2º Pavimento</t>
        </is>
      </c>
      <c r="D208" s="28" t="inlineStr">
        <is>
          <t>A</t>
        </is>
      </c>
      <c r="E208" s="28" t="n">
        <v>114</v>
      </c>
      <c r="F208" s="28" t="inlineStr">
        <is>
          <t>3.14.4</t>
        </is>
      </c>
      <c r="G208" s="28" t="inlineStr">
        <is>
          <t>Marquise 01</t>
        </is>
      </c>
      <c r="H208" s="28" t="inlineStr">
        <is>
          <t>10</t>
        </is>
      </c>
      <c r="I208" s="28" t="inlineStr">
        <is>
          <t>JP30A</t>
        </is>
      </c>
      <c r="J208" s="29" t="n">
        <v>25.82</v>
      </c>
      <c r="K208" s="29" t="n">
        <v>6.65</v>
      </c>
      <c r="L208" s="30" t="n">
        <v>1</v>
      </c>
      <c r="M208" s="25">
        <f>(J208+K208)*L208</f>
        <v/>
      </c>
      <c r="N208" s="25">
        <f>32.47*L208</f>
        <v/>
      </c>
      <c r="O208" s="25">
        <f>32.47*L208</f>
        <v/>
      </c>
      <c r="P208" s="25" t="n"/>
      <c r="Q208" s="25" t="n"/>
      <c r="R208" s="25" t="n"/>
      <c r="S208" s="28" t="n">
        <v>2621</v>
      </c>
    </row>
    <row r="209">
      <c r="A209" s="28" t="n">
        <v>208</v>
      </c>
      <c r="B209" s="28" t="inlineStr">
        <is>
          <t>Base</t>
        </is>
      </c>
      <c r="C209" s="28" t="inlineStr">
        <is>
          <t>2º Pavimento</t>
        </is>
      </c>
      <c r="D209" s="28" t="inlineStr">
        <is>
          <t>A</t>
        </is>
      </c>
      <c r="E209" s="28" t="n">
        <v>114</v>
      </c>
      <c r="F209" s="28" t="inlineStr">
        <is>
          <t>3.14.4</t>
        </is>
      </c>
      <c r="G209" s="28" t="inlineStr">
        <is>
          <t>Marquise 02</t>
        </is>
      </c>
      <c r="H209" s="28" t="inlineStr">
        <is>
          <t>11</t>
        </is>
      </c>
      <c r="I209" s="28" t="inlineStr">
        <is>
          <t>JP30A</t>
        </is>
      </c>
      <c r="J209" s="29" t="n">
        <v>24.96</v>
      </c>
      <c r="K209" s="29" t="n">
        <v>6.58</v>
      </c>
      <c r="L209" s="30" t="n">
        <v>3</v>
      </c>
      <c r="M209" s="25">
        <f>(J209+K209)*L209</f>
        <v/>
      </c>
      <c r="N209" s="25">
        <f>31.54*L209</f>
        <v/>
      </c>
      <c r="O209" s="25">
        <f>31.54*L209</f>
        <v/>
      </c>
      <c r="P209" s="25" t="n"/>
      <c r="Q209" s="25" t="n"/>
      <c r="R209" s="25" t="n"/>
      <c r="S209" s="28" t="n">
        <v>2633</v>
      </c>
    </row>
    <row r="210">
      <c r="A210" s="28" t="n">
        <v>209</v>
      </c>
      <c r="B210" s="28" t="inlineStr">
        <is>
          <t>Base</t>
        </is>
      </c>
      <c r="C210" s="28" t="inlineStr">
        <is>
          <t>2º Pavimento</t>
        </is>
      </c>
      <c r="D210" s="28" t="inlineStr">
        <is>
          <t>A</t>
        </is>
      </c>
      <c r="E210" s="28" t="n">
        <v>114</v>
      </c>
      <c r="F210" s="28" t="inlineStr">
        <is>
          <t>3.14.4</t>
        </is>
      </c>
      <c r="G210" s="28" t="inlineStr">
        <is>
          <t>Marquise 03</t>
        </is>
      </c>
      <c r="H210" s="28" t="inlineStr">
        <is>
          <t>12</t>
        </is>
      </c>
      <c r="I210" s="28" t="inlineStr">
        <is>
          <t>JP30A</t>
        </is>
      </c>
      <c r="J210" s="29" t="n">
        <v>27.3</v>
      </c>
      <c r="K210" s="29" t="n">
        <v>7.02</v>
      </c>
      <c r="L210" s="30" t="n">
        <v>1</v>
      </c>
      <c r="M210" s="25">
        <f>(J210+K210)*L210</f>
        <v/>
      </c>
      <c r="N210" s="25">
        <f>34.32*L210</f>
        <v/>
      </c>
      <c r="O210" s="25">
        <f>34.32*L210</f>
        <v/>
      </c>
      <c r="P210" s="25" t="n"/>
      <c r="Q210" s="25" t="n"/>
      <c r="R210" s="25" t="n"/>
      <c r="S210" s="28" t="n">
        <v>2645</v>
      </c>
    </row>
    <row r="211">
      <c r="A211" s="28" t="n">
        <v>210</v>
      </c>
      <c r="B211" s="28" t="inlineStr">
        <is>
          <t>Base</t>
        </is>
      </c>
      <c r="C211" s="28" t="inlineStr">
        <is>
          <t>2º Pavimento</t>
        </is>
      </c>
      <c r="D211" s="28" t="inlineStr">
        <is>
          <t>A</t>
        </is>
      </c>
      <c r="E211" s="28" t="n">
        <v>114</v>
      </c>
      <c r="F211" s="28" t="inlineStr">
        <is>
          <t>3.14.4</t>
        </is>
      </c>
      <c r="G211" s="28" t="inlineStr">
        <is>
          <t>Caixão Perdido Floreira</t>
        </is>
      </c>
      <c r="H211" s="28" t="inlineStr">
        <is>
          <t>13</t>
        </is>
      </c>
      <c r="I211" s="28" t="inlineStr">
        <is>
          <t>JP30A</t>
        </is>
      </c>
      <c r="J211" s="29" t="n">
        <v>1.6</v>
      </c>
      <c r="K211" s="29" t="n">
        <v>2.62</v>
      </c>
      <c r="L211" s="30" t="n">
        <v>5</v>
      </c>
      <c r="M211" s="25">
        <f>(J211+K211)*L211</f>
        <v/>
      </c>
      <c r="N211" s="25">
        <f>4.22*L211</f>
        <v/>
      </c>
      <c r="O211" s="25">
        <f>4.22*L211</f>
        <v/>
      </c>
      <c r="P211" s="25" t="n"/>
      <c r="Q211" s="25" t="n"/>
      <c r="R211" s="25" t="n"/>
      <c r="S211" s="28" t="n">
        <v>2657</v>
      </c>
    </row>
    <row r="212">
      <c r="A212" s="28" t="n">
        <v>211</v>
      </c>
      <c r="B212" s="28" t="inlineStr">
        <is>
          <t>Base</t>
        </is>
      </c>
      <c r="C212" s="28" t="inlineStr">
        <is>
          <t>2º Pavimento</t>
        </is>
      </c>
      <c r="D212" s="28" t="inlineStr">
        <is>
          <t>A</t>
        </is>
      </c>
      <c r="E212" s="28" t="n">
        <v>114</v>
      </c>
      <c r="F212" s="28" t="inlineStr">
        <is>
          <t>3.14.5</t>
        </is>
      </c>
      <c r="G212" s="28" t="inlineStr">
        <is>
          <t>Floreira</t>
        </is>
      </c>
      <c r="H212" s="28" t="inlineStr">
        <is>
          <t>14</t>
        </is>
      </c>
      <c r="I212" s="28" t="inlineStr">
        <is>
          <t>JP30AR05</t>
        </is>
      </c>
      <c r="J212" s="29" t="n">
        <v>1.6</v>
      </c>
      <c r="K212" s="29" t="n">
        <v>6.12</v>
      </c>
      <c r="L212" s="30" t="n">
        <v>5</v>
      </c>
      <c r="M212" s="25">
        <f>(J212+K212)*L212</f>
        <v/>
      </c>
      <c r="N212" s="25">
        <f>7.72*L212</f>
        <v/>
      </c>
      <c r="O212" s="25">
        <f>7.72*L212</f>
        <v/>
      </c>
      <c r="P212" s="25" t="n"/>
      <c r="Q212" s="25" t="n"/>
      <c r="R212" s="25">
        <f>1.6*L212</f>
        <v/>
      </c>
      <c r="S212" s="28" t="n">
        <v>2670</v>
      </c>
    </row>
    <row r="213">
      <c r="A213" s="28" t="n">
        <v>212</v>
      </c>
      <c r="B213" s="28" t="inlineStr">
        <is>
          <t>Base</t>
        </is>
      </c>
      <c r="C213" s="28" t="inlineStr">
        <is>
          <t>2º Pavimento</t>
        </is>
      </c>
      <c r="D213" s="28" t="inlineStr">
        <is>
          <t>A</t>
        </is>
      </c>
      <c r="E213" s="28" t="n">
        <v>114</v>
      </c>
      <c r="F213" s="28" t="inlineStr">
        <is>
          <t>3.14.6</t>
        </is>
      </c>
      <c r="G213" s="28" t="inlineStr">
        <is>
          <t>Jardim</t>
        </is>
      </c>
      <c r="H213" s="28" t="inlineStr">
        <is>
          <t>15</t>
        </is>
      </c>
      <c r="I213" s="28" t="inlineStr">
        <is>
          <t>M44AR05</t>
        </is>
      </c>
      <c r="J213" s="29" t="n">
        <v>5.69</v>
      </c>
      <c r="K213" s="29" t="n">
        <v>3</v>
      </c>
      <c r="L213" s="30" t="n">
        <v>5</v>
      </c>
      <c r="M213" s="25">
        <f>(J213+K213)*L213</f>
        <v/>
      </c>
      <c r="N213" s="25">
        <f>8.69*L213</f>
        <v/>
      </c>
      <c r="O213" s="25">
        <f>5.69*L213</f>
        <v/>
      </c>
      <c r="P213" s="25">
        <f>3.0*L213</f>
        <v/>
      </c>
      <c r="Q213" s="25" t="n"/>
      <c r="R213" s="25">
        <f>5.69*L213</f>
        <v/>
      </c>
      <c r="S213" s="28" t="n">
        <v>2685</v>
      </c>
    </row>
    <row r="214">
      <c r="A214" s="28" t="n">
        <v>213</v>
      </c>
      <c r="B214" s="28" t="inlineStr">
        <is>
          <t>Base</t>
        </is>
      </c>
      <c r="C214" s="28" t="inlineStr">
        <is>
          <t>2º Pavimento</t>
        </is>
      </c>
      <c r="D214" s="28" t="inlineStr">
        <is>
          <t>A</t>
        </is>
      </c>
      <c r="E214" s="28" t="n">
        <v>114</v>
      </c>
      <c r="F214" s="28" t="inlineStr">
        <is>
          <t>3.14.7</t>
        </is>
      </c>
      <c r="G214" s="28" t="inlineStr">
        <is>
          <t>Terraço Descoberto 01</t>
        </is>
      </c>
      <c r="H214" s="28" t="inlineStr">
        <is>
          <t>16</t>
        </is>
      </c>
      <c r="I214" s="28" t="inlineStr">
        <is>
          <t>M44A</t>
        </is>
      </c>
      <c r="J214" s="29" t="n">
        <v>15.22</v>
      </c>
      <c r="K214" s="29" t="n">
        <v>2.9</v>
      </c>
      <c r="L214" s="30" t="n">
        <v>5</v>
      </c>
      <c r="M214" s="25">
        <f>(J214+K214)*L214</f>
        <v/>
      </c>
      <c r="N214" s="25">
        <f>18.12*L214</f>
        <v/>
      </c>
      <c r="O214" s="25">
        <f>15.22*L214</f>
        <v/>
      </c>
      <c r="P214" s="25">
        <f>2.9*L214</f>
        <v/>
      </c>
      <c r="Q214" s="25" t="n"/>
      <c r="R214" s="25" t="n"/>
      <c r="S214" s="28" t="n">
        <v>2702</v>
      </c>
    </row>
    <row r="215">
      <c r="A215" s="28" t="n">
        <v>214</v>
      </c>
      <c r="B215" s="28" t="inlineStr">
        <is>
          <t>Base</t>
        </is>
      </c>
      <c r="C215" s="28" t="inlineStr">
        <is>
          <t>2º Pavimento</t>
        </is>
      </c>
      <c r="D215" s="28" t="inlineStr">
        <is>
          <t>A</t>
        </is>
      </c>
      <c r="E215" s="28" t="n">
        <v>114</v>
      </c>
      <c r="F215" s="28" t="inlineStr">
        <is>
          <t>3.14.8</t>
        </is>
      </c>
      <c r="G215" s="28" t="inlineStr">
        <is>
          <t>Terraço Descoberto 02</t>
        </is>
      </c>
      <c r="H215" s="28" t="inlineStr">
        <is>
          <t>17</t>
        </is>
      </c>
      <c r="I215" s="28" t="inlineStr">
        <is>
          <t>M44AD2</t>
        </is>
      </c>
      <c r="J215" s="29" t="n">
        <v>65.55</v>
      </c>
      <c r="K215" s="29" t="n">
        <v>12.48</v>
      </c>
      <c r="L215" s="30" t="n">
        <v>5</v>
      </c>
      <c r="M215" s="25">
        <f>(J215+K215)*L215</f>
        <v/>
      </c>
      <c r="N215" s="25">
        <f>78.03*L215</f>
        <v/>
      </c>
      <c r="O215" s="25">
        <f>65.55*L215</f>
        <v/>
      </c>
      <c r="P215" s="25">
        <f>12.48*L215</f>
        <v/>
      </c>
      <c r="Q215" s="25" t="n"/>
      <c r="R215" s="25" t="n"/>
      <c r="S215" s="28" t="n">
        <v>2717</v>
      </c>
    </row>
    <row r="216">
      <c r="A216" s="28" t="n">
        <v>215</v>
      </c>
      <c r="B216" s="28" t="inlineStr">
        <is>
          <t>Base</t>
        </is>
      </c>
      <c r="C216" s="28" t="inlineStr">
        <is>
          <t>2º Pavimento</t>
        </is>
      </c>
      <c r="D216" s="28" t="inlineStr">
        <is>
          <t>B</t>
        </is>
      </c>
      <c r="E216" s="28" t="n">
        <v>115</v>
      </c>
      <c r="F216" s="28" t="inlineStr">
        <is>
          <t>3.15.1</t>
        </is>
      </c>
      <c r="G216" s="28" t="inlineStr">
        <is>
          <t>Banho Serviço</t>
        </is>
      </c>
      <c r="H216" s="28" t="inlineStr">
        <is>
          <t>1</t>
        </is>
      </c>
      <c r="I216" s="28" t="inlineStr">
        <is>
          <t>I20EL</t>
        </is>
      </c>
      <c r="J216" s="29" t="n">
        <v>2.32</v>
      </c>
      <c r="K216" s="29" t="n">
        <v>4.95</v>
      </c>
      <c r="L216" s="30" t="n">
        <v>4</v>
      </c>
      <c r="M216" s="25">
        <f>(J216+K216)*L216</f>
        <v/>
      </c>
      <c r="N216" s="25">
        <f>7.27*L216</f>
        <v/>
      </c>
      <c r="O216" s="25" t="n"/>
      <c r="P216" s="25" t="n"/>
      <c r="Q216" s="25" t="n"/>
      <c r="R216" s="25" t="n"/>
      <c r="S216" s="28" t="n">
        <v>2768</v>
      </c>
    </row>
    <row r="217">
      <c r="A217" s="28" t="n">
        <v>216</v>
      </c>
      <c r="B217" s="28" t="inlineStr">
        <is>
          <t>Base</t>
        </is>
      </c>
      <c r="C217" s="28" t="inlineStr">
        <is>
          <t>2º Pavimento</t>
        </is>
      </c>
      <c r="D217" s="28" t="inlineStr">
        <is>
          <t>B</t>
        </is>
      </c>
      <c r="E217" s="28" t="n">
        <v>115</v>
      </c>
      <c r="F217" s="28" t="inlineStr">
        <is>
          <t>3.15.1</t>
        </is>
      </c>
      <c r="G217" s="28" t="inlineStr">
        <is>
          <t>Banho Piscina</t>
        </is>
      </c>
      <c r="H217" s="28" t="inlineStr">
        <is>
          <t>2</t>
        </is>
      </c>
      <c r="I217" s="28" t="inlineStr">
        <is>
          <t>I20EL</t>
        </is>
      </c>
      <c r="J217" s="29" t="n">
        <v>2.59</v>
      </c>
      <c r="K217" s="29" t="n">
        <v>1.81</v>
      </c>
      <c r="L217" s="30" t="n">
        <v>4</v>
      </c>
      <c r="M217" s="25">
        <f>(J217+K217)*L217</f>
        <v/>
      </c>
      <c r="N217" s="25">
        <f>4.4*L217</f>
        <v/>
      </c>
      <c r="O217" s="25" t="n"/>
      <c r="P217" s="25" t="n"/>
      <c r="Q217" s="25" t="n"/>
      <c r="R217" s="25" t="n"/>
      <c r="S217" s="28" t="n">
        <v>2776</v>
      </c>
    </row>
    <row r="218">
      <c r="A218" s="28" t="n">
        <v>217</v>
      </c>
      <c r="B218" s="28" t="inlineStr">
        <is>
          <t>Base</t>
        </is>
      </c>
      <c r="C218" s="28" t="inlineStr">
        <is>
          <t>2º Pavimento</t>
        </is>
      </c>
      <c r="D218" s="28" t="inlineStr">
        <is>
          <t>B</t>
        </is>
      </c>
      <c r="E218" s="28" t="n">
        <v>115</v>
      </c>
      <c r="F218" s="28" t="inlineStr">
        <is>
          <t>3.15.1</t>
        </is>
      </c>
      <c r="G218" s="28" t="inlineStr">
        <is>
          <t>Lavabo</t>
        </is>
      </c>
      <c r="H218" s="28" t="inlineStr">
        <is>
          <t>3</t>
        </is>
      </c>
      <c r="I218" s="28" t="inlineStr">
        <is>
          <t>I20EL</t>
        </is>
      </c>
      <c r="J218" s="29" t="n">
        <v>2.64</v>
      </c>
      <c r="K218" s="29" t="n">
        <v>1.86</v>
      </c>
      <c r="L218" s="30" t="n">
        <v>4</v>
      </c>
      <c r="M218" s="25">
        <f>(J218+K218)*L218</f>
        <v/>
      </c>
      <c r="N218" s="25">
        <f>4.5*L218</f>
        <v/>
      </c>
      <c r="O218" s="25" t="n"/>
      <c r="P218" s="25" t="n"/>
      <c r="Q218" s="25" t="n"/>
      <c r="R218" s="25" t="n"/>
      <c r="S218" s="28" t="n">
        <v>2784</v>
      </c>
    </row>
    <row r="219">
      <c r="A219" s="28" t="n">
        <v>218</v>
      </c>
      <c r="B219" s="28" t="inlineStr">
        <is>
          <t>Base</t>
        </is>
      </c>
      <c r="C219" s="28" t="inlineStr">
        <is>
          <t>2º Pavimento</t>
        </is>
      </c>
      <c r="D219" s="28" t="inlineStr">
        <is>
          <t>B</t>
        </is>
      </c>
      <c r="E219" s="28" t="n">
        <v>115</v>
      </c>
      <c r="F219" s="28" t="inlineStr">
        <is>
          <t>3.15.1</t>
        </is>
      </c>
      <c r="G219" s="28" t="inlineStr">
        <is>
          <t>Terraço Serviço</t>
        </is>
      </c>
      <c r="H219" s="28" t="inlineStr">
        <is>
          <t>4</t>
        </is>
      </c>
      <c r="I219" s="28" t="inlineStr">
        <is>
          <t>I20EL</t>
        </is>
      </c>
      <c r="J219" s="29" t="n">
        <v>4.72</v>
      </c>
      <c r="K219" s="29" t="n">
        <v>3.41</v>
      </c>
      <c r="L219" s="30" t="n">
        <v>4</v>
      </c>
      <c r="M219" s="25">
        <f>(J219+K219)*L219</f>
        <v/>
      </c>
      <c r="N219" s="25">
        <f>8.13*L219</f>
        <v/>
      </c>
      <c r="O219" s="25" t="n"/>
      <c r="P219" s="25" t="n"/>
      <c r="Q219" s="25" t="n"/>
      <c r="R219" s="25" t="n"/>
      <c r="S219" s="28" t="n">
        <v>2792</v>
      </c>
    </row>
    <row r="220">
      <c r="A220" s="28" t="n">
        <v>219</v>
      </c>
      <c r="B220" s="28" t="inlineStr">
        <is>
          <t>Base</t>
        </is>
      </c>
      <c r="C220" s="28" t="inlineStr">
        <is>
          <t>2º Pavimento</t>
        </is>
      </c>
      <c r="D220" s="28" t="inlineStr">
        <is>
          <t>B</t>
        </is>
      </c>
      <c r="E220" s="28" t="n">
        <v>115</v>
      </c>
      <c r="F220" s="28" t="inlineStr">
        <is>
          <t>3.15.1</t>
        </is>
      </c>
      <c r="G220" s="28" t="inlineStr">
        <is>
          <t>Comp. Lixo</t>
        </is>
      </c>
      <c r="H220" s="28" t="inlineStr">
        <is>
          <t>5</t>
        </is>
      </c>
      <c r="I220" s="28" t="inlineStr">
        <is>
          <t>I20EL</t>
        </is>
      </c>
      <c r="J220" s="29" t="n">
        <v>1.09</v>
      </c>
      <c r="K220" s="29" t="n">
        <v>13.66</v>
      </c>
      <c r="L220" s="30" t="n">
        <v>2</v>
      </c>
      <c r="M220" s="25">
        <f>(J220+K220)*L220</f>
        <v/>
      </c>
      <c r="N220" s="25">
        <f>14.75*L220</f>
        <v/>
      </c>
      <c r="O220" s="25" t="n"/>
      <c r="P220" s="25" t="n"/>
      <c r="Q220" s="25" t="n"/>
      <c r="R220" s="25" t="n"/>
      <c r="S220" s="28" t="n">
        <v>2800</v>
      </c>
    </row>
    <row r="221">
      <c r="A221" s="28" t="n">
        <v>220</v>
      </c>
      <c r="B221" s="28" t="inlineStr">
        <is>
          <t>Base</t>
        </is>
      </c>
      <c r="C221" s="28" t="inlineStr">
        <is>
          <t>2º Pavimento</t>
        </is>
      </c>
      <c r="D221" s="28" t="inlineStr">
        <is>
          <t>B</t>
        </is>
      </c>
      <c r="E221" s="28" t="n">
        <v>115</v>
      </c>
      <c r="F221" s="28" t="inlineStr">
        <is>
          <t>3.15.1</t>
        </is>
      </c>
      <c r="G221" s="28" t="inlineStr">
        <is>
          <t>Tubulação Emergente</t>
        </is>
      </c>
      <c r="H221" s="28" t="inlineStr">
        <is>
          <t>6</t>
        </is>
      </c>
      <c r="I221" s="28" t="inlineStr">
        <is>
          <t>I20EL</t>
        </is>
      </c>
      <c r="J221" s="29" t="n">
        <v>0.3</v>
      </c>
      <c r="K221" s="29" t="n">
        <v>0.15</v>
      </c>
      <c r="L221" s="30" t="n">
        <v>4</v>
      </c>
      <c r="M221" s="25">
        <f>(J221+K221)*L221</f>
        <v/>
      </c>
      <c r="N221" s="25">
        <f>0.45*L221</f>
        <v/>
      </c>
      <c r="O221" s="25" t="n"/>
      <c r="P221" s="25" t="n"/>
      <c r="Q221" s="25" t="n"/>
      <c r="R221" s="25" t="n"/>
      <c r="S221" s="28" t="n">
        <v>2808</v>
      </c>
    </row>
    <row r="222">
      <c r="A222" s="28" t="n">
        <v>221</v>
      </c>
      <c r="B222" s="28" t="inlineStr">
        <is>
          <t>Base</t>
        </is>
      </c>
      <c r="C222" s="28" t="inlineStr">
        <is>
          <t>2º Pavimento</t>
        </is>
      </c>
      <c r="D222" s="28" t="inlineStr">
        <is>
          <t>B</t>
        </is>
      </c>
      <c r="E222" s="28" t="n">
        <v>115</v>
      </c>
      <c r="F222" s="28" t="inlineStr">
        <is>
          <t>3.15.2</t>
        </is>
      </c>
      <c r="G222" s="28" t="inlineStr">
        <is>
          <t>Shaft</t>
        </is>
      </c>
      <c r="H222" s="28" t="inlineStr">
        <is>
          <t>7</t>
        </is>
      </c>
      <c r="I222" s="28" t="inlineStr">
        <is>
          <t>I20EL</t>
        </is>
      </c>
      <c r="J222" s="29" t="n">
        <v>0.47</v>
      </c>
      <c r="K222" s="29" t="n">
        <v>0.68</v>
      </c>
      <c r="L222" s="30" t="n">
        <v>4</v>
      </c>
      <c r="M222" s="25">
        <f>(J222+K222)*L222</f>
        <v/>
      </c>
      <c r="N222" s="25">
        <f>1.15*L222</f>
        <v/>
      </c>
      <c r="O222" s="25">
        <f>1.15*L222</f>
        <v/>
      </c>
      <c r="P222" s="25" t="n"/>
      <c r="Q222" s="25" t="n"/>
      <c r="R222" s="25" t="n"/>
      <c r="S222" s="28" t="n">
        <v>2816</v>
      </c>
    </row>
    <row r="223">
      <c r="A223" s="28" t="n">
        <v>222</v>
      </c>
      <c r="B223" s="28" t="inlineStr">
        <is>
          <t>Base</t>
        </is>
      </c>
      <c r="C223" s="28" t="inlineStr">
        <is>
          <t>2º Pavimento</t>
        </is>
      </c>
      <c r="D223" s="28" t="inlineStr">
        <is>
          <t>B</t>
        </is>
      </c>
      <c r="E223" s="28" t="n">
        <v>115</v>
      </c>
      <c r="F223" s="28" t="inlineStr">
        <is>
          <t>3.15.3</t>
        </is>
      </c>
      <c r="G223" s="28" t="inlineStr">
        <is>
          <t>Aba</t>
        </is>
      </c>
      <c r="H223" s="28" t="inlineStr">
        <is>
          <t>8</t>
        </is>
      </c>
      <c r="I223" s="28" t="inlineStr">
        <is>
          <t>I30EL</t>
        </is>
      </c>
      <c r="J223" s="29" t="n">
        <v>24.49</v>
      </c>
      <c r="K223" s="29" t="n">
        <v>28.36</v>
      </c>
      <c r="L223" s="30" t="n">
        <v>1</v>
      </c>
      <c r="M223" s="25">
        <f>(J223+K223)*L223</f>
        <v/>
      </c>
      <c r="N223" s="25">
        <f>52.85*L223</f>
        <v/>
      </c>
      <c r="O223" s="25">
        <f>52.85*L223</f>
        <v/>
      </c>
      <c r="P223" s="25" t="n"/>
      <c r="Q223" s="25" t="n"/>
      <c r="R223" s="25" t="n"/>
      <c r="S223" s="28" t="n">
        <v>2827</v>
      </c>
    </row>
    <row r="224">
      <c r="A224" s="28" t="n">
        <v>223</v>
      </c>
      <c r="B224" s="28" t="inlineStr">
        <is>
          <t>Base</t>
        </is>
      </c>
      <c r="C224" s="28" t="inlineStr">
        <is>
          <t>2º Pavimento</t>
        </is>
      </c>
      <c r="D224" s="28" t="inlineStr">
        <is>
          <t>B</t>
        </is>
      </c>
      <c r="E224" s="28" t="n">
        <v>115</v>
      </c>
      <c r="F224" s="28" t="inlineStr">
        <is>
          <t>3.15.4</t>
        </is>
      </c>
      <c r="G224" s="28" t="inlineStr">
        <is>
          <t>Floreira</t>
        </is>
      </c>
      <c r="H224" s="28" t="inlineStr">
        <is>
          <t>9</t>
        </is>
      </c>
      <c r="I224" s="28" t="inlineStr">
        <is>
          <t>JP30AR05</t>
        </is>
      </c>
      <c r="J224" s="29" t="n">
        <v>1.6</v>
      </c>
      <c r="K224" s="29" t="n">
        <v>6.12</v>
      </c>
      <c r="L224" s="30" t="n">
        <v>4</v>
      </c>
      <c r="M224" s="25">
        <f>(J224+K224)*L224</f>
        <v/>
      </c>
      <c r="N224" s="25">
        <f>7.72*L224</f>
        <v/>
      </c>
      <c r="O224" s="25">
        <f>7.72*L224</f>
        <v/>
      </c>
      <c r="P224" s="25" t="n"/>
      <c r="Q224" s="25" t="n"/>
      <c r="R224" s="25">
        <f>1.6*L224</f>
        <v/>
      </c>
      <c r="S224" s="28" t="n">
        <v>2838</v>
      </c>
    </row>
    <row r="225">
      <c r="A225" s="28" t="n">
        <v>224</v>
      </c>
      <c r="B225" s="28" t="inlineStr">
        <is>
          <t>Base</t>
        </is>
      </c>
      <c r="C225" s="28" t="inlineStr">
        <is>
          <t>2º Pavimento</t>
        </is>
      </c>
      <c r="D225" s="28" t="inlineStr">
        <is>
          <t>B</t>
        </is>
      </c>
      <c r="E225" s="28" t="n">
        <v>115</v>
      </c>
      <c r="F225" s="28" t="inlineStr">
        <is>
          <t>3.15.5</t>
        </is>
      </c>
      <c r="G225" s="28" t="inlineStr">
        <is>
          <t>Marquise 01</t>
        </is>
      </c>
      <c r="H225" s="28" t="inlineStr">
        <is>
          <t>10</t>
        </is>
      </c>
      <c r="I225" s="28" t="inlineStr">
        <is>
          <t>JP30A</t>
        </is>
      </c>
      <c r="J225" s="29" t="n">
        <v>27.3</v>
      </c>
      <c r="K225" s="29" t="n">
        <v>6.68</v>
      </c>
      <c r="L225" s="30" t="n">
        <v>2</v>
      </c>
      <c r="M225" s="25">
        <f>(J225+K225)*L225</f>
        <v/>
      </c>
      <c r="N225" s="25">
        <f>33.98*L225</f>
        <v/>
      </c>
      <c r="O225" s="25">
        <f>33.98*L225</f>
        <v/>
      </c>
      <c r="P225" s="25" t="n"/>
      <c r="Q225" s="25" t="n"/>
      <c r="R225" s="25" t="n"/>
      <c r="S225" s="28" t="n">
        <v>2853</v>
      </c>
    </row>
    <row r="226">
      <c r="A226" s="28" t="n">
        <v>225</v>
      </c>
      <c r="B226" s="28" t="inlineStr">
        <is>
          <t>Base</t>
        </is>
      </c>
      <c r="C226" s="28" t="inlineStr">
        <is>
          <t>2º Pavimento</t>
        </is>
      </c>
      <c r="D226" s="28" t="inlineStr">
        <is>
          <t>B</t>
        </is>
      </c>
      <c r="E226" s="28" t="n">
        <v>115</v>
      </c>
      <c r="F226" s="28" t="inlineStr">
        <is>
          <t>3.15.5</t>
        </is>
      </c>
      <c r="G226" s="28" t="inlineStr">
        <is>
          <t>Marquise 02</t>
        </is>
      </c>
      <c r="H226" s="28" t="inlineStr">
        <is>
          <t>11</t>
        </is>
      </c>
      <c r="I226" s="28" t="inlineStr">
        <is>
          <t>JP30A</t>
        </is>
      </c>
      <c r="J226" s="29" t="n">
        <v>24.96</v>
      </c>
      <c r="K226" s="29" t="n">
        <v>6.28</v>
      </c>
      <c r="L226" s="30" t="n">
        <v>2</v>
      </c>
      <c r="M226" s="25">
        <f>(J226+K226)*L226</f>
        <v/>
      </c>
      <c r="N226" s="25">
        <f>31.24*L226</f>
        <v/>
      </c>
      <c r="O226" s="25">
        <f>31.24*L226</f>
        <v/>
      </c>
      <c r="P226" s="25" t="n"/>
      <c r="Q226" s="25" t="n"/>
      <c r="R226" s="25" t="n"/>
      <c r="S226" s="28" t="n">
        <v>2865</v>
      </c>
    </row>
    <row r="227">
      <c r="A227" s="28" t="n">
        <v>226</v>
      </c>
      <c r="B227" s="28" t="inlineStr">
        <is>
          <t>Base</t>
        </is>
      </c>
      <c r="C227" s="28" t="inlineStr">
        <is>
          <t>2º Pavimento</t>
        </is>
      </c>
      <c r="D227" s="28" t="inlineStr">
        <is>
          <t>B</t>
        </is>
      </c>
      <c r="E227" s="28" t="n">
        <v>115</v>
      </c>
      <c r="F227" s="28" t="inlineStr">
        <is>
          <t>3.15.5</t>
        </is>
      </c>
      <c r="G227" s="28" t="inlineStr">
        <is>
          <t>Caixão Perdido Floreira</t>
        </is>
      </c>
      <c r="H227" s="28" t="inlineStr">
        <is>
          <t>12</t>
        </is>
      </c>
      <c r="I227" s="28" t="inlineStr">
        <is>
          <t>JP30A</t>
        </is>
      </c>
      <c r="J227" s="29" t="n">
        <v>1.6</v>
      </c>
      <c r="K227" s="29" t="n">
        <v>2.62</v>
      </c>
      <c r="L227" s="30" t="n">
        <v>4</v>
      </c>
      <c r="M227" s="25">
        <f>(J227+K227)*L227</f>
        <v/>
      </c>
      <c r="N227" s="25">
        <f>4.22*L227</f>
        <v/>
      </c>
      <c r="O227" s="25">
        <f>4.22*L227</f>
        <v/>
      </c>
      <c r="P227" s="25" t="n"/>
      <c r="Q227" s="25" t="n"/>
      <c r="R227" s="25" t="n"/>
      <c r="S227" s="28" t="n">
        <v>2877</v>
      </c>
    </row>
    <row r="228">
      <c r="A228" s="28" t="n">
        <v>227</v>
      </c>
      <c r="B228" s="28" t="inlineStr">
        <is>
          <t>Base</t>
        </is>
      </c>
      <c r="C228" s="28" t="inlineStr">
        <is>
          <t>2º Pavimento</t>
        </is>
      </c>
      <c r="D228" s="28" t="inlineStr">
        <is>
          <t>B</t>
        </is>
      </c>
      <c r="E228" s="28" t="n">
        <v>115</v>
      </c>
      <c r="F228" s="28" t="inlineStr">
        <is>
          <t>3.15.6</t>
        </is>
      </c>
      <c r="G228" s="28" t="inlineStr">
        <is>
          <t>Terraço Descoberto 01</t>
        </is>
      </c>
      <c r="H228" s="28" t="inlineStr">
        <is>
          <t>13</t>
        </is>
      </c>
      <c r="I228" s="28" t="inlineStr">
        <is>
          <t>M44A</t>
        </is>
      </c>
      <c r="J228" s="29" t="n">
        <v>15.22</v>
      </c>
      <c r="K228" s="29" t="n">
        <v>2.9</v>
      </c>
      <c r="L228" s="30" t="n">
        <v>4</v>
      </c>
      <c r="M228" s="25">
        <f>(J228+K228)*L228</f>
        <v/>
      </c>
      <c r="N228" s="25">
        <f>18.12*L228</f>
        <v/>
      </c>
      <c r="O228" s="25">
        <f>15.22*L228</f>
        <v/>
      </c>
      <c r="P228" s="25">
        <f>2.9*L228</f>
        <v/>
      </c>
      <c r="Q228" s="25" t="n"/>
      <c r="R228" s="25" t="n"/>
      <c r="S228" s="28" t="n">
        <v>2890</v>
      </c>
    </row>
    <row r="229">
      <c r="A229" s="28" t="n">
        <v>228</v>
      </c>
      <c r="B229" s="28" t="inlineStr">
        <is>
          <t>Base</t>
        </is>
      </c>
      <c r="C229" s="28" t="inlineStr">
        <is>
          <t>2º Pavimento</t>
        </is>
      </c>
      <c r="D229" s="28" t="inlineStr">
        <is>
          <t>B</t>
        </is>
      </c>
      <c r="E229" s="28" t="n">
        <v>115</v>
      </c>
      <c r="F229" s="28" t="inlineStr">
        <is>
          <t>3.15.7</t>
        </is>
      </c>
      <c r="G229" s="28" t="inlineStr">
        <is>
          <t>Jardim</t>
        </is>
      </c>
      <c r="H229" s="28" t="inlineStr">
        <is>
          <t>14</t>
        </is>
      </c>
      <c r="I229" s="28" t="inlineStr">
        <is>
          <t>M44AR05</t>
        </is>
      </c>
      <c r="J229" s="29" t="n">
        <v>5.69</v>
      </c>
      <c r="K229" s="29" t="n">
        <v>3</v>
      </c>
      <c r="L229" s="30" t="n">
        <v>4</v>
      </c>
      <c r="M229" s="25">
        <f>(J229+K229)*L229</f>
        <v/>
      </c>
      <c r="N229" s="25">
        <f>8.69*L229</f>
        <v/>
      </c>
      <c r="O229" s="25">
        <f>5.69*L229</f>
        <v/>
      </c>
      <c r="P229" s="25">
        <f>3.0*L229</f>
        <v/>
      </c>
      <c r="Q229" s="25" t="n"/>
      <c r="R229" s="25">
        <f>5.69*L229</f>
        <v/>
      </c>
      <c r="S229" s="28" t="n">
        <v>2905</v>
      </c>
    </row>
    <row r="230">
      <c r="A230" s="28" t="n">
        <v>229</v>
      </c>
      <c r="B230" s="28" t="inlineStr">
        <is>
          <t>Base</t>
        </is>
      </c>
      <c r="C230" s="28" t="inlineStr">
        <is>
          <t>2º Pavimento</t>
        </is>
      </c>
      <c r="D230" s="28" t="inlineStr">
        <is>
          <t>B</t>
        </is>
      </c>
      <c r="E230" s="28" t="n">
        <v>115</v>
      </c>
      <c r="F230" s="28" t="inlineStr">
        <is>
          <t>3.15.8</t>
        </is>
      </c>
      <c r="G230" s="28" t="inlineStr">
        <is>
          <t>Terraço Descoberto 02</t>
        </is>
      </c>
      <c r="H230" s="28" t="inlineStr">
        <is>
          <t>15</t>
        </is>
      </c>
      <c r="I230" s="28" t="inlineStr">
        <is>
          <t>M44AD2</t>
        </is>
      </c>
      <c r="J230" s="29" t="n">
        <v>65.55</v>
      </c>
      <c r="K230" s="29" t="n">
        <v>12.48</v>
      </c>
      <c r="L230" s="30" t="n">
        <v>4</v>
      </c>
      <c r="M230" s="25">
        <f>(J230+K230)*L230</f>
        <v/>
      </c>
      <c r="N230" s="25">
        <f>78.03*L230</f>
        <v/>
      </c>
      <c r="O230" s="25">
        <f>65.55*L230</f>
        <v/>
      </c>
      <c r="P230" s="25">
        <f>12.48*L230</f>
        <v/>
      </c>
      <c r="Q230" s="25" t="n"/>
      <c r="R230" s="25" t="n"/>
      <c r="S230" s="28" t="n">
        <v>2922</v>
      </c>
    </row>
    <row r="231">
      <c r="A231" s="28" t="n">
        <v>230</v>
      </c>
      <c r="B231" s="28" t="inlineStr">
        <is>
          <t>Base</t>
        </is>
      </c>
      <c r="C231" s="28" t="inlineStr">
        <is>
          <t>2º Pavimento</t>
        </is>
      </c>
      <c r="D231" s="28" t="inlineStr">
        <is>
          <t>C</t>
        </is>
      </c>
      <c r="E231" s="28" t="n">
        <v>116</v>
      </c>
      <c r="F231" s="28" t="inlineStr">
        <is>
          <t>3.16.1</t>
        </is>
      </c>
      <c r="G231" s="28" t="inlineStr">
        <is>
          <t>Banho Serviço</t>
        </is>
      </c>
      <c r="H231" s="28" t="inlineStr">
        <is>
          <t>1</t>
        </is>
      </c>
      <c r="I231" s="28" t="inlineStr">
        <is>
          <t>I20EL</t>
        </is>
      </c>
      <c r="J231" s="29" t="n">
        <v>2.32</v>
      </c>
      <c r="K231" s="29" t="n">
        <v>4.95</v>
      </c>
      <c r="L231" s="30" t="n">
        <v>4</v>
      </c>
      <c r="M231" s="25">
        <f>(J231+K231)*L231</f>
        <v/>
      </c>
      <c r="N231" s="25">
        <f>7.27*L231</f>
        <v/>
      </c>
      <c r="O231" s="25" t="n"/>
      <c r="P231" s="25" t="n"/>
      <c r="Q231" s="25" t="n"/>
      <c r="R231" s="25" t="n"/>
      <c r="S231" s="28" t="n">
        <v>2973</v>
      </c>
    </row>
    <row r="232">
      <c r="A232" s="28" t="n">
        <v>231</v>
      </c>
      <c r="B232" s="28" t="inlineStr">
        <is>
          <t>Base</t>
        </is>
      </c>
      <c r="C232" s="28" t="inlineStr">
        <is>
          <t>2º Pavimento</t>
        </is>
      </c>
      <c r="D232" s="28" t="inlineStr">
        <is>
          <t>C</t>
        </is>
      </c>
      <c r="E232" s="28" t="n">
        <v>116</v>
      </c>
      <c r="F232" s="28" t="inlineStr">
        <is>
          <t>3.16.1</t>
        </is>
      </c>
      <c r="G232" s="28" t="inlineStr">
        <is>
          <t>Banho Piscina</t>
        </is>
      </c>
      <c r="H232" s="28" t="inlineStr">
        <is>
          <t>2</t>
        </is>
      </c>
      <c r="I232" s="28" t="inlineStr">
        <is>
          <t>I20EL</t>
        </is>
      </c>
      <c r="J232" s="29" t="n">
        <v>2.74</v>
      </c>
      <c r="K232" s="29" t="n">
        <v>1.89</v>
      </c>
      <c r="L232" s="30" t="n">
        <v>4</v>
      </c>
      <c r="M232" s="25">
        <f>(J232+K232)*L232</f>
        <v/>
      </c>
      <c r="N232" s="25">
        <f>4.63*L232</f>
        <v/>
      </c>
      <c r="O232" s="25" t="n"/>
      <c r="P232" s="25" t="n"/>
      <c r="Q232" s="25" t="n"/>
      <c r="R232" s="25" t="n"/>
      <c r="S232" s="28" t="n">
        <v>2981</v>
      </c>
    </row>
    <row r="233">
      <c r="A233" s="28" t="n">
        <v>232</v>
      </c>
      <c r="B233" s="28" t="inlineStr">
        <is>
          <t>Base</t>
        </is>
      </c>
      <c r="C233" s="28" t="inlineStr">
        <is>
          <t>2º Pavimento</t>
        </is>
      </c>
      <c r="D233" s="28" t="inlineStr">
        <is>
          <t>C</t>
        </is>
      </c>
      <c r="E233" s="28" t="n">
        <v>116</v>
      </c>
      <c r="F233" s="28" t="inlineStr">
        <is>
          <t>3.16.1</t>
        </is>
      </c>
      <c r="G233" s="28" t="inlineStr">
        <is>
          <t>Lavabo</t>
        </is>
      </c>
      <c r="H233" s="28" t="inlineStr">
        <is>
          <t>3</t>
        </is>
      </c>
      <c r="I233" s="28" t="inlineStr">
        <is>
          <t>I20EL</t>
        </is>
      </c>
      <c r="J233" s="29" t="n">
        <v>2.64</v>
      </c>
      <c r="K233" s="29" t="n">
        <v>1.86</v>
      </c>
      <c r="L233" s="30" t="n">
        <v>4</v>
      </c>
      <c r="M233" s="25">
        <f>(J233+K233)*L233</f>
        <v/>
      </c>
      <c r="N233" s="25">
        <f>4.5*L233</f>
        <v/>
      </c>
      <c r="O233" s="25" t="n"/>
      <c r="P233" s="25" t="n"/>
      <c r="Q233" s="25" t="n"/>
      <c r="R233" s="25" t="n"/>
      <c r="S233" s="28" t="n">
        <v>2989</v>
      </c>
    </row>
    <row r="234">
      <c r="A234" s="28" t="n">
        <v>233</v>
      </c>
      <c r="B234" s="28" t="inlineStr">
        <is>
          <t>Base</t>
        </is>
      </c>
      <c r="C234" s="28" t="inlineStr">
        <is>
          <t>2º Pavimento</t>
        </is>
      </c>
      <c r="D234" s="28" t="inlineStr">
        <is>
          <t>C</t>
        </is>
      </c>
      <c r="E234" s="28" t="n">
        <v>116</v>
      </c>
      <c r="F234" s="28" t="inlineStr">
        <is>
          <t>3.16.1</t>
        </is>
      </c>
      <c r="G234" s="28" t="inlineStr">
        <is>
          <t>Terraço Serviço</t>
        </is>
      </c>
      <c r="H234" s="28" t="inlineStr">
        <is>
          <t>4</t>
        </is>
      </c>
      <c r="I234" s="28" t="inlineStr">
        <is>
          <t>I20EL</t>
        </is>
      </c>
      <c r="J234" s="29" t="n">
        <v>4.72</v>
      </c>
      <c r="K234" s="29" t="n">
        <v>3.41</v>
      </c>
      <c r="L234" s="30" t="n">
        <v>4</v>
      </c>
      <c r="M234" s="25">
        <f>(J234+K234)*L234</f>
        <v/>
      </c>
      <c r="N234" s="25">
        <f>8.13*L234</f>
        <v/>
      </c>
      <c r="O234" s="25" t="n"/>
      <c r="P234" s="25" t="n"/>
      <c r="Q234" s="25" t="n"/>
      <c r="R234" s="25" t="n"/>
      <c r="S234" s="28" t="n">
        <v>2997</v>
      </c>
    </row>
    <row r="235">
      <c r="A235" s="28" t="n">
        <v>234</v>
      </c>
      <c r="B235" s="28" t="inlineStr">
        <is>
          <t>Base</t>
        </is>
      </c>
      <c r="C235" s="28" t="inlineStr">
        <is>
          <t>2º Pavimento</t>
        </is>
      </c>
      <c r="D235" s="28" t="inlineStr">
        <is>
          <t>C</t>
        </is>
      </c>
      <c r="E235" s="28" t="n">
        <v>116</v>
      </c>
      <c r="F235" s="28" t="inlineStr">
        <is>
          <t>3.16.1</t>
        </is>
      </c>
      <c r="G235" s="28" t="inlineStr">
        <is>
          <t>Comp. Lixo</t>
        </is>
      </c>
      <c r="H235" s="28" t="inlineStr">
        <is>
          <t>5</t>
        </is>
      </c>
      <c r="I235" s="28" t="inlineStr">
        <is>
          <t>I20EL</t>
        </is>
      </c>
      <c r="J235" s="29" t="n">
        <v>1.09</v>
      </c>
      <c r="K235" s="29" t="n">
        <v>13.66</v>
      </c>
      <c r="L235" s="30" t="n">
        <v>2</v>
      </c>
      <c r="M235" s="25">
        <f>(J235+K235)*L235</f>
        <v/>
      </c>
      <c r="N235" s="25">
        <f>14.75*L235</f>
        <v/>
      </c>
      <c r="O235" s="25" t="n"/>
      <c r="P235" s="25" t="n"/>
      <c r="Q235" s="25" t="n"/>
      <c r="R235" s="25" t="n"/>
      <c r="S235" s="28" t="n">
        <v>3005</v>
      </c>
    </row>
    <row r="236">
      <c r="A236" s="28" t="n">
        <v>235</v>
      </c>
      <c r="B236" s="28" t="inlineStr">
        <is>
          <t>Base</t>
        </is>
      </c>
      <c r="C236" s="28" t="inlineStr">
        <is>
          <t>2º Pavimento</t>
        </is>
      </c>
      <c r="D236" s="28" t="inlineStr">
        <is>
          <t>C</t>
        </is>
      </c>
      <c r="E236" s="28" t="n">
        <v>116</v>
      </c>
      <c r="F236" s="28" t="inlineStr">
        <is>
          <t>3.16.1</t>
        </is>
      </c>
      <c r="G236" s="28" t="inlineStr">
        <is>
          <t>Tubulação Emergente</t>
        </is>
      </c>
      <c r="H236" s="28" t="inlineStr">
        <is>
          <t>6</t>
        </is>
      </c>
      <c r="I236" s="28" t="inlineStr">
        <is>
          <t>I20EL</t>
        </is>
      </c>
      <c r="J236" s="29" t="n">
        <v>0.3</v>
      </c>
      <c r="K236" s="29" t="n">
        <v>0.15</v>
      </c>
      <c r="L236" s="30" t="n">
        <v>4</v>
      </c>
      <c r="M236" s="25">
        <f>(J236+K236)*L236</f>
        <v/>
      </c>
      <c r="N236" s="25">
        <f>0.45*L236</f>
        <v/>
      </c>
      <c r="O236" s="25" t="n"/>
      <c r="P236" s="25" t="n"/>
      <c r="Q236" s="25" t="n"/>
      <c r="R236" s="25" t="n"/>
      <c r="S236" s="28" t="n">
        <v>3013</v>
      </c>
    </row>
    <row r="237">
      <c r="A237" s="28" t="n">
        <v>236</v>
      </c>
      <c r="B237" s="28" t="inlineStr">
        <is>
          <t>Base</t>
        </is>
      </c>
      <c r="C237" s="28" t="inlineStr">
        <is>
          <t>2º Pavimento</t>
        </is>
      </c>
      <c r="D237" s="28" t="inlineStr">
        <is>
          <t>C</t>
        </is>
      </c>
      <c r="E237" s="28" t="n">
        <v>116</v>
      </c>
      <c r="F237" s="28" t="inlineStr">
        <is>
          <t>3.16.2</t>
        </is>
      </c>
      <c r="G237" s="28" t="inlineStr">
        <is>
          <t>Shaft</t>
        </is>
      </c>
      <c r="H237" s="28" t="inlineStr">
        <is>
          <t>7</t>
        </is>
      </c>
      <c r="I237" s="28" t="inlineStr">
        <is>
          <t>I20EL</t>
        </is>
      </c>
      <c r="J237" s="29" t="n">
        <v>0.47</v>
      </c>
      <c r="K237" s="29" t="n">
        <v>0.68</v>
      </c>
      <c r="L237" s="30" t="n">
        <v>4</v>
      </c>
      <c r="M237" s="25">
        <f>(J237+K237)*L237</f>
        <v/>
      </c>
      <c r="N237" s="25">
        <f>1.15*L237</f>
        <v/>
      </c>
      <c r="O237" s="25">
        <f>1.15*L237</f>
        <v/>
      </c>
      <c r="P237" s="25" t="n"/>
      <c r="Q237" s="25" t="n"/>
      <c r="R237" s="25" t="n"/>
      <c r="S237" s="28" t="n">
        <v>3021</v>
      </c>
    </row>
    <row r="238">
      <c r="A238" s="28" t="n">
        <v>237</v>
      </c>
      <c r="B238" s="28" t="inlineStr">
        <is>
          <t>Base</t>
        </is>
      </c>
      <c r="C238" s="28" t="inlineStr">
        <is>
          <t>2º Pavimento</t>
        </is>
      </c>
      <c r="D238" s="28" t="inlineStr">
        <is>
          <t>C</t>
        </is>
      </c>
      <c r="E238" s="28" t="n">
        <v>116</v>
      </c>
      <c r="F238" s="28" t="inlineStr">
        <is>
          <t>3.16.3</t>
        </is>
      </c>
      <c r="G238" s="28" t="inlineStr">
        <is>
          <t>Aba</t>
        </is>
      </c>
      <c r="H238" s="28" t="inlineStr">
        <is>
          <t>8</t>
        </is>
      </c>
      <c r="I238" s="28" t="inlineStr">
        <is>
          <t>I30EL</t>
        </is>
      </c>
      <c r="J238" s="29" t="n">
        <v>24.49</v>
      </c>
      <c r="K238" s="29" t="n">
        <v>28.36</v>
      </c>
      <c r="L238" s="30" t="n">
        <v>1</v>
      </c>
      <c r="M238" s="25">
        <f>(J238+K238)*L238</f>
        <v/>
      </c>
      <c r="N238" s="25">
        <f>52.85*L238</f>
        <v/>
      </c>
      <c r="O238" s="25">
        <f>52.85*L238</f>
        <v/>
      </c>
      <c r="P238" s="25" t="n"/>
      <c r="Q238" s="25" t="n"/>
      <c r="R238" s="25" t="n"/>
      <c r="S238" s="28" t="n">
        <v>3032</v>
      </c>
    </row>
    <row r="239">
      <c r="A239" s="28" t="n">
        <v>238</v>
      </c>
      <c r="B239" s="28" t="inlineStr">
        <is>
          <t>Base</t>
        </is>
      </c>
      <c r="C239" s="28" t="inlineStr">
        <is>
          <t>2º Pavimento</t>
        </is>
      </c>
      <c r="D239" s="28" t="inlineStr">
        <is>
          <t>C</t>
        </is>
      </c>
      <c r="E239" s="28" t="n">
        <v>116</v>
      </c>
      <c r="F239" s="28" t="inlineStr">
        <is>
          <t>3.16.4</t>
        </is>
      </c>
      <c r="G239" s="28" t="inlineStr">
        <is>
          <t>Floreira</t>
        </is>
      </c>
      <c r="H239" s="28" t="inlineStr">
        <is>
          <t>9</t>
        </is>
      </c>
      <c r="I239" s="28" t="inlineStr">
        <is>
          <t>JP30AR05</t>
        </is>
      </c>
      <c r="J239" s="29" t="n">
        <v>1.6</v>
      </c>
      <c r="K239" s="29" t="n">
        <v>6.12</v>
      </c>
      <c r="L239" s="30" t="n">
        <v>4</v>
      </c>
      <c r="M239" s="25">
        <f>(J239+K239)*L239</f>
        <v/>
      </c>
      <c r="N239" s="25">
        <f>7.72*L239</f>
        <v/>
      </c>
      <c r="O239" s="25">
        <f>7.72*L239</f>
        <v/>
      </c>
      <c r="P239" s="25" t="n"/>
      <c r="Q239" s="25" t="n"/>
      <c r="R239" s="25">
        <f>1.6*L239</f>
        <v/>
      </c>
      <c r="S239" s="28" t="n">
        <v>3043</v>
      </c>
    </row>
    <row r="240">
      <c r="A240" s="28" t="n">
        <v>239</v>
      </c>
      <c r="B240" s="28" t="inlineStr">
        <is>
          <t>Base</t>
        </is>
      </c>
      <c r="C240" s="28" t="inlineStr">
        <is>
          <t>2º Pavimento</t>
        </is>
      </c>
      <c r="D240" s="28" t="inlineStr">
        <is>
          <t>C</t>
        </is>
      </c>
      <c r="E240" s="28" t="n">
        <v>116</v>
      </c>
      <c r="F240" s="28" t="inlineStr">
        <is>
          <t>3.16.5</t>
        </is>
      </c>
      <c r="G240" s="28" t="inlineStr">
        <is>
          <t>Marquise 01</t>
        </is>
      </c>
      <c r="H240" s="28" t="inlineStr">
        <is>
          <t>10</t>
        </is>
      </c>
      <c r="I240" s="28" t="inlineStr">
        <is>
          <t>JP30A</t>
        </is>
      </c>
      <c r="J240" s="29" t="n">
        <v>26.57</v>
      </c>
      <c r="K240" s="29" t="n">
        <v>6.68</v>
      </c>
      <c r="L240" s="30" t="n">
        <v>2</v>
      </c>
      <c r="M240" s="25">
        <f>(J240+K240)*L240</f>
        <v/>
      </c>
      <c r="N240" s="25">
        <f>33.25*L240</f>
        <v/>
      </c>
      <c r="O240" s="25">
        <f>33.25*L240</f>
        <v/>
      </c>
      <c r="P240" s="25" t="n"/>
      <c r="Q240" s="25" t="n"/>
      <c r="R240" s="25" t="n"/>
      <c r="S240" s="28" t="n">
        <v>3058</v>
      </c>
    </row>
    <row r="241">
      <c r="A241" s="28" t="n">
        <v>240</v>
      </c>
      <c r="B241" s="28" t="inlineStr">
        <is>
          <t>Base</t>
        </is>
      </c>
      <c r="C241" s="28" t="inlineStr">
        <is>
          <t>2º Pavimento</t>
        </is>
      </c>
      <c r="D241" s="28" t="inlineStr">
        <is>
          <t>C</t>
        </is>
      </c>
      <c r="E241" s="28" t="n">
        <v>116</v>
      </c>
      <c r="F241" s="28" t="inlineStr">
        <is>
          <t>3.16.5</t>
        </is>
      </c>
      <c r="G241" s="28" t="inlineStr">
        <is>
          <t>Marquise 02</t>
        </is>
      </c>
      <c r="H241" s="28" t="inlineStr">
        <is>
          <t>11</t>
        </is>
      </c>
      <c r="I241" s="28" t="inlineStr">
        <is>
          <t>JP30A</t>
        </is>
      </c>
      <c r="J241" s="29" t="n">
        <v>24.54</v>
      </c>
      <c r="K241" s="29" t="n">
        <v>6.12</v>
      </c>
      <c r="L241" s="30" t="n">
        <v>2</v>
      </c>
      <c r="M241" s="25">
        <f>(J241+K241)*L241</f>
        <v/>
      </c>
      <c r="N241" s="25">
        <f>30.66*L241</f>
        <v/>
      </c>
      <c r="O241" s="25">
        <f>30.66*L241</f>
        <v/>
      </c>
      <c r="P241" s="25" t="n"/>
      <c r="Q241" s="25" t="n"/>
      <c r="R241" s="25" t="n"/>
      <c r="S241" s="28" t="n">
        <v>3070</v>
      </c>
    </row>
    <row r="242">
      <c r="A242" s="28" t="n">
        <v>241</v>
      </c>
      <c r="B242" s="28" t="inlineStr">
        <is>
          <t>Base</t>
        </is>
      </c>
      <c r="C242" s="28" t="inlineStr">
        <is>
          <t>2º Pavimento</t>
        </is>
      </c>
      <c r="D242" s="28" t="inlineStr">
        <is>
          <t>C</t>
        </is>
      </c>
      <c r="E242" s="28" t="n">
        <v>116</v>
      </c>
      <c r="F242" s="28" t="inlineStr">
        <is>
          <t>3.16.5</t>
        </is>
      </c>
      <c r="G242" s="28" t="inlineStr">
        <is>
          <t>Caixão Perdido Floreira</t>
        </is>
      </c>
      <c r="H242" s="28" t="inlineStr">
        <is>
          <t>12</t>
        </is>
      </c>
      <c r="I242" s="28" t="inlineStr">
        <is>
          <t>JP30A</t>
        </is>
      </c>
      <c r="J242" s="29" t="n">
        <v>1.6</v>
      </c>
      <c r="K242" s="29" t="n">
        <v>2.62</v>
      </c>
      <c r="L242" s="30" t="n">
        <v>4</v>
      </c>
      <c r="M242" s="25">
        <f>(J242+K242)*L242</f>
        <v/>
      </c>
      <c r="N242" s="25">
        <f>4.22*L242</f>
        <v/>
      </c>
      <c r="O242" s="25">
        <f>4.22*L242</f>
        <v/>
      </c>
      <c r="P242" s="25" t="n"/>
      <c r="Q242" s="25" t="n"/>
      <c r="R242" s="25" t="n"/>
      <c r="S242" s="28" t="n">
        <v>3082</v>
      </c>
    </row>
    <row r="243">
      <c r="A243" s="28" t="n">
        <v>242</v>
      </c>
      <c r="B243" s="28" t="inlineStr">
        <is>
          <t>Base</t>
        </is>
      </c>
      <c r="C243" s="28" t="inlineStr">
        <is>
          <t>2º Pavimento</t>
        </is>
      </c>
      <c r="D243" s="28" t="inlineStr">
        <is>
          <t>C</t>
        </is>
      </c>
      <c r="E243" s="28" t="n">
        <v>116</v>
      </c>
      <c r="F243" s="28" t="inlineStr">
        <is>
          <t>3.16.6</t>
        </is>
      </c>
      <c r="G243" s="28" t="inlineStr">
        <is>
          <t>Terraço Descoberto 01</t>
        </is>
      </c>
      <c r="H243" s="28" t="inlineStr">
        <is>
          <t>13</t>
        </is>
      </c>
      <c r="I243" s="28" t="inlineStr">
        <is>
          <t>M44A</t>
        </is>
      </c>
      <c r="J243" s="29" t="n">
        <v>15.22</v>
      </c>
      <c r="K243" s="29" t="n">
        <v>2.9</v>
      </c>
      <c r="L243" s="30" t="n">
        <v>4</v>
      </c>
      <c r="M243" s="25">
        <f>(J243+K243)*L243</f>
        <v/>
      </c>
      <c r="N243" s="25">
        <f>18.12*L243</f>
        <v/>
      </c>
      <c r="O243" s="25">
        <f>15.22*L243</f>
        <v/>
      </c>
      <c r="P243" s="25">
        <f>2.9*L243</f>
        <v/>
      </c>
      <c r="Q243" s="25" t="n"/>
      <c r="R243" s="25" t="n"/>
      <c r="S243" s="28" t="n">
        <v>3095</v>
      </c>
    </row>
    <row r="244">
      <c r="A244" s="28" t="n">
        <v>243</v>
      </c>
      <c r="B244" s="28" t="inlineStr">
        <is>
          <t>Base</t>
        </is>
      </c>
      <c r="C244" s="28" t="inlineStr">
        <is>
          <t>2º Pavimento</t>
        </is>
      </c>
      <c r="D244" s="28" t="inlineStr">
        <is>
          <t>C</t>
        </is>
      </c>
      <c r="E244" s="28" t="n">
        <v>116</v>
      </c>
      <c r="F244" s="28" t="inlineStr">
        <is>
          <t>3.16.7</t>
        </is>
      </c>
      <c r="G244" s="28" t="inlineStr">
        <is>
          <t>Jardim</t>
        </is>
      </c>
      <c r="H244" s="28" t="inlineStr">
        <is>
          <t>14</t>
        </is>
      </c>
      <c r="I244" s="28" t="inlineStr">
        <is>
          <t>M44AR05</t>
        </is>
      </c>
      <c r="J244" s="29" t="n">
        <v>5.69</v>
      </c>
      <c r="K244" s="29" t="n">
        <v>3</v>
      </c>
      <c r="L244" s="30" t="n">
        <v>4</v>
      </c>
      <c r="M244" s="25">
        <f>(J244+K244)*L244</f>
        <v/>
      </c>
      <c r="N244" s="25">
        <f>8.69*L244</f>
        <v/>
      </c>
      <c r="O244" s="25">
        <f>5.69*L244</f>
        <v/>
      </c>
      <c r="P244" s="25">
        <f>3.0*L244</f>
        <v/>
      </c>
      <c r="Q244" s="25" t="n"/>
      <c r="R244" s="25">
        <f>5.69*L244</f>
        <v/>
      </c>
      <c r="S244" s="28" t="n">
        <v>3110</v>
      </c>
    </row>
    <row r="245">
      <c r="A245" s="28" t="n">
        <v>244</v>
      </c>
      <c r="B245" s="28" t="inlineStr">
        <is>
          <t>Base</t>
        </is>
      </c>
      <c r="C245" s="28" t="inlineStr">
        <is>
          <t>2º Pavimento</t>
        </is>
      </c>
      <c r="D245" s="28" t="inlineStr">
        <is>
          <t>C</t>
        </is>
      </c>
      <c r="E245" s="28" t="n">
        <v>116</v>
      </c>
      <c r="F245" s="28" t="inlineStr">
        <is>
          <t>3.16.8</t>
        </is>
      </c>
      <c r="G245" s="28" t="inlineStr">
        <is>
          <t>Terraço Descoberto 02</t>
        </is>
      </c>
      <c r="H245" s="28" t="inlineStr">
        <is>
          <t>15</t>
        </is>
      </c>
      <c r="I245" s="28" t="inlineStr">
        <is>
          <t>M44AD2</t>
        </is>
      </c>
      <c r="J245" s="29" t="n">
        <v>65.43000000000001</v>
      </c>
      <c r="K245" s="29" t="n">
        <v>12.48</v>
      </c>
      <c r="L245" s="30" t="n">
        <v>4</v>
      </c>
      <c r="M245" s="25">
        <f>(J245+K245)*L245</f>
        <v/>
      </c>
      <c r="N245" s="25">
        <f>77.91*L245</f>
        <v/>
      </c>
      <c r="O245" s="25">
        <f>65.43*L245</f>
        <v/>
      </c>
      <c r="P245" s="25">
        <f>12.48*L245</f>
        <v/>
      </c>
      <c r="Q245" s="25" t="n"/>
      <c r="R245" s="25" t="n"/>
      <c r="S245" s="28" t="n">
        <v>3127</v>
      </c>
    </row>
    <row r="246">
      <c r="A246" s="28" t="n">
        <v>245</v>
      </c>
      <c r="B246" s="28" t="inlineStr">
        <is>
          <t>Base</t>
        </is>
      </c>
      <c r="C246" s="28" t="inlineStr">
        <is>
          <t>Cobertura</t>
        </is>
      </c>
      <c r="D246" s="28" t="inlineStr">
        <is>
          <t>A</t>
        </is>
      </c>
      <c r="E246" s="28" t="n">
        <v>117</v>
      </c>
      <c r="F246" s="28" t="inlineStr">
        <is>
          <t>3.17.1</t>
        </is>
      </c>
      <c r="G246" s="28" t="inlineStr">
        <is>
          <t>Laje Impermeabilizada 01</t>
        </is>
      </c>
      <c r="H246" s="28" t="inlineStr">
        <is>
          <t>1</t>
        </is>
      </c>
      <c r="I246" s="28" t="inlineStr">
        <is>
          <t>M44A</t>
        </is>
      </c>
      <c r="J246" s="29" t="n">
        <v>3.39</v>
      </c>
      <c r="K246" s="29" t="n">
        <v>2.95</v>
      </c>
      <c r="L246" s="30" t="n">
        <v>2</v>
      </c>
      <c r="M246" s="25">
        <f>(J246+K246)*L246</f>
        <v/>
      </c>
      <c r="N246" s="25">
        <f>6.34*L246</f>
        <v/>
      </c>
      <c r="O246" s="25">
        <f>3.39*L246</f>
        <v/>
      </c>
      <c r="P246" s="25">
        <f>2.95*L246</f>
        <v/>
      </c>
      <c r="Q246" s="25" t="n"/>
      <c r="R246" s="25" t="n"/>
      <c r="S246" s="28" t="n">
        <v>3179</v>
      </c>
    </row>
    <row r="247">
      <c r="A247" s="28" t="n">
        <v>246</v>
      </c>
      <c r="B247" s="28" t="inlineStr">
        <is>
          <t>Base</t>
        </is>
      </c>
      <c r="C247" s="28" t="inlineStr">
        <is>
          <t>Cobertura</t>
        </is>
      </c>
      <c r="D247" s="28" t="inlineStr">
        <is>
          <t>A</t>
        </is>
      </c>
      <c r="E247" s="28" t="n">
        <v>117</v>
      </c>
      <c r="F247" s="28" t="inlineStr">
        <is>
          <t>3.17.1</t>
        </is>
      </c>
      <c r="G247" s="28" t="inlineStr">
        <is>
          <t>Laje Impermeabilizada 02</t>
        </is>
      </c>
      <c r="H247" s="28" t="inlineStr">
        <is>
          <t>2</t>
        </is>
      </c>
      <c r="I247" s="28" t="inlineStr">
        <is>
          <t>M44A</t>
        </is>
      </c>
      <c r="J247" s="29" t="n">
        <v>7.06</v>
      </c>
      <c r="K247" s="29" t="n">
        <v>4.42</v>
      </c>
      <c r="L247" s="30" t="n">
        <v>2</v>
      </c>
      <c r="M247" s="25">
        <f>(J247+K247)*L247</f>
        <v/>
      </c>
      <c r="N247" s="25">
        <f>11.48*L247</f>
        <v/>
      </c>
      <c r="O247" s="25">
        <f>7.06*L247</f>
        <v/>
      </c>
      <c r="P247" s="25">
        <f>4.42*L247</f>
        <v/>
      </c>
      <c r="Q247" s="25" t="n"/>
      <c r="R247" s="25" t="n"/>
      <c r="S247" s="28" t="n">
        <v>3193</v>
      </c>
    </row>
    <row r="248">
      <c r="A248" s="28" t="n">
        <v>247</v>
      </c>
      <c r="B248" s="28" t="inlineStr">
        <is>
          <t>Base</t>
        </is>
      </c>
      <c r="C248" s="28" t="inlineStr">
        <is>
          <t>Cobertura</t>
        </is>
      </c>
      <c r="D248" s="28" t="inlineStr">
        <is>
          <t>A</t>
        </is>
      </c>
      <c r="E248" s="28" t="n">
        <v>117</v>
      </c>
      <c r="F248" s="28" t="inlineStr">
        <is>
          <t>3.17.1</t>
        </is>
      </c>
      <c r="G248" s="28" t="inlineStr">
        <is>
          <t>Laje Impermeabilizada 03</t>
        </is>
      </c>
      <c r="H248" s="28" t="inlineStr">
        <is>
          <t>3</t>
        </is>
      </c>
      <c r="I248" s="28" t="inlineStr">
        <is>
          <t>M44A</t>
        </is>
      </c>
      <c r="J248" s="29" t="n">
        <v>7.25</v>
      </c>
      <c r="K248" s="29" t="n">
        <v>3.51</v>
      </c>
      <c r="L248" s="30" t="n">
        <v>2</v>
      </c>
      <c r="M248" s="25">
        <f>(J248+K248)*L248</f>
        <v/>
      </c>
      <c r="N248" s="25">
        <f>10.76*L248</f>
        <v/>
      </c>
      <c r="O248" s="25">
        <f>7.25*L248</f>
        <v/>
      </c>
      <c r="P248" s="25">
        <f>3.51*L248</f>
        <v/>
      </c>
      <c r="Q248" s="25" t="n"/>
      <c r="R248" s="25" t="n"/>
      <c r="S248" s="28" t="n">
        <v>3207</v>
      </c>
    </row>
    <row r="249">
      <c r="A249" s="28" t="n">
        <v>248</v>
      </c>
      <c r="B249" s="28" t="inlineStr">
        <is>
          <t>Base</t>
        </is>
      </c>
      <c r="C249" s="28" t="inlineStr">
        <is>
          <t>Cobertura</t>
        </is>
      </c>
      <c r="D249" s="28" t="inlineStr">
        <is>
          <t>A</t>
        </is>
      </c>
      <c r="E249" s="28" t="n">
        <v>117</v>
      </c>
      <c r="F249" s="28" t="inlineStr">
        <is>
          <t>3.17.1</t>
        </is>
      </c>
      <c r="G249" s="28" t="inlineStr">
        <is>
          <t>Laje Impermeabilizada 04</t>
        </is>
      </c>
      <c r="H249" s="28" t="inlineStr">
        <is>
          <t>4</t>
        </is>
      </c>
      <c r="I249" s="28" t="inlineStr">
        <is>
          <t>M44A</t>
        </is>
      </c>
      <c r="J249" s="29" t="n">
        <v>4.8</v>
      </c>
      <c r="K249" s="29" t="n">
        <v>3.81</v>
      </c>
      <c r="L249" s="30" t="n">
        <v>2</v>
      </c>
      <c r="M249" s="25">
        <f>(J249+K249)*L249</f>
        <v/>
      </c>
      <c r="N249" s="25">
        <f>8.61*L249</f>
        <v/>
      </c>
      <c r="O249" s="25">
        <f>4.8*L249</f>
        <v/>
      </c>
      <c r="P249" s="25">
        <f>3.81*L249</f>
        <v/>
      </c>
      <c r="Q249" s="25" t="n"/>
      <c r="R249" s="25" t="n"/>
      <c r="S249" s="28" t="n">
        <v>3221</v>
      </c>
    </row>
    <row r="250">
      <c r="A250" s="28" t="n">
        <v>249</v>
      </c>
      <c r="B250" s="28" t="inlineStr">
        <is>
          <t>Base</t>
        </is>
      </c>
      <c r="C250" s="28" t="inlineStr">
        <is>
          <t>Cobertura</t>
        </is>
      </c>
      <c r="D250" s="28" t="inlineStr">
        <is>
          <t>A</t>
        </is>
      </c>
      <c r="E250" s="28" t="n">
        <v>117</v>
      </c>
      <c r="F250" s="28" t="inlineStr">
        <is>
          <t>3.17.1</t>
        </is>
      </c>
      <c r="G250" s="28" t="inlineStr">
        <is>
          <t>Laje Impermeabilizada 05</t>
        </is>
      </c>
      <c r="H250" s="28" t="inlineStr">
        <is>
          <t>5</t>
        </is>
      </c>
      <c r="I250" s="28" t="inlineStr">
        <is>
          <t>M44A</t>
        </is>
      </c>
      <c r="J250" s="29" t="n">
        <v>8.289999999999999</v>
      </c>
      <c r="K250" s="29" t="n">
        <v>4.6</v>
      </c>
      <c r="L250" s="30" t="n">
        <v>2</v>
      </c>
      <c r="M250" s="25">
        <f>(J250+K250)*L250</f>
        <v/>
      </c>
      <c r="N250" s="25">
        <f>12.89*L250</f>
        <v/>
      </c>
      <c r="O250" s="25">
        <f>8.29*L250</f>
        <v/>
      </c>
      <c r="P250" s="25">
        <f>4.6*L250</f>
        <v/>
      </c>
      <c r="Q250" s="25" t="n"/>
      <c r="R250" s="25" t="n"/>
      <c r="S250" s="28" t="n">
        <v>3235</v>
      </c>
    </row>
    <row r="251">
      <c r="A251" s="28" t="n">
        <v>250</v>
      </c>
      <c r="B251" s="28" t="inlineStr">
        <is>
          <t>Base</t>
        </is>
      </c>
      <c r="C251" s="28" t="inlineStr">
        <is>
          <t>Cobertura</t>
        </is>
      </c>
      <c r="D251" s="28" t="inlineStr">
        <is>
          <t>A</t>
        </is>
      </c>
      <c r="E251" s="28" t="n">
        <v>117</v>
      </c>
      <c r="F251" s="28" t="inlineStr">
        <is>
          <t>3.17.1</t>
        </is>
      </c>
      <c r="G251" s="28" t="inlineStr">
        <is>
          <t>Laje Impermeabilizada 06</t>
        </is>
      </c>
      <c r="H251" s="28" t="inlineStr">
        <is>
          <t>6</t>
        </is>
      </c>
      <c r="I251" s="28" t="inlineStr">
        <is>
          <t>M44A</t>
        </is>
      </c>
      <c r="J251" s="29" t="n">
        <v>33.41</v>
      </c>
      <c r="K251" s="29" t="n">
        <v>9.84</v>
      </c>
      <c r="L251" s="30" t="n">
        <v>1</v>
      </c>
      <c r="M251" s="25">
        <f>(J251+K251)*L251</f>
        <v/>
      </c>
      <c r="N251" s="25">
        <f>43.25*L251</f>
        <v/>
      </c>
      <c r="O251" s="25">
        <f>33.41*L251</f>
        <v/>
      </c>
      <c r="P251" s="25">
        <f>9.84*L251</f>
        <v/>
      </c>
      <c r="Q251" s="25" t="n"/>
      <c r="R251" s="25" t="n"/>
      <c r="S251" s="28" t="n">
        <v>3249</v>
      </c>
    </row>
    <row r="252">
      <c r="A252" s="28" t="n">
        <v>251</v>
      </c>
      <c r="B252" s="28" t="inlineStr">
        <is>
          <t>Base</t>
        </is>
      </c>
      <c r="C252" s="28" t="inlineStr">
        <is>
          <t>Cobertura</t>
        </is>
      </c>
      <c r="D252" s="28" t="inlineStr">
        <is>
          <t>A</t>
        </is>
      </c>
      <c r="E252" s="28" t="n">
        <v>117</v>
      </c>
      <c r="F252" s="28" t="inlineStr">
        <is>
          <t>3.17.1</t>
        </is>
      </c>
      <c r="G252" s="28" t="inlineStr">
        <is>
          <t>Laje Impermeabilizada 07</t>
        </is>
      </c>
      <c r="H252" s="28" t="inlineStr">
        <is>
          <t>7</t>
        </is>
      </c>
      <c r="I252" s="28" t="inlineStr">
        <is>
          <t>M44A</t>
        </is>
      </c>
      <c r="J252" s="29" t="n">
        <v>7.09</v>
      </c>
      <c r="K252" s="29" t="n">
        <v>4.64</v>
      </c>
      <c r="L252" s="30" t="n">
        <v>1</v>
      </c>
      <c r="M252" s="25">
        <f>(J252+K252)*L252</f>
        <v/>
      </c>
      <c r="N252" s="25">
        <f>11.73*L252</f>
        <v/>
      </c>
      <c r="O252" s="25">
        <f>7.09*L252</f>
        <v/>
      </c>
      <c r="P252" s="25">
        <f>4.64*L252</f>
        <v/>
      </c>
      <c r="Q252" s="25" t="n"/>
      <c r="R252" s="25" t="n"/>
      <c r="S252" s="28" t="n">
        <v>3263</v>
      </c>
    </row>
    <row r="253">
      <c r="A253" s="28" t="n">
        <v>252</v>
      </c>
      <c r="B253" s="28" t="inlineStr">
        <is>
          <t>Base</t>
        </is>
      </c>
      <c r="C253" s="28" t="inlineStr">
        <is>
          <t>Cobertura</t>
        </is>
      </c>
      <c r="D253" s="28" t="inlineStr">
        <is>
          <t>A</t>
        </is>
      </c>
      <c r="E253" s="28" t="n">
        <v>117</v>
      </c>
      <c r="F253" s="28" t="inlineStr">
        <is>
          <t>3.17.1</t>
        </is>
      </c>
      <c r="G253" s="28" t="inlineStr">
        <is>
          <t>Laje Impermeabilizada 08</t>
        </is>
      </c>
      <c r="H253" s="28" t="inlineStr">
        <is>
          <t>8</t>
        </is>
      </c>
      <c r="I253" s="28" t="inlineStr">
        <is>
          <t>M44A</t>
        </is>
      </c>
      <c r="J253" s="29" t="n">
        <v>8.59</v>
      </c>
      <c r="K253" s="29" t="n">
        <v>4.68</v>
      </c>
      <c r="L253" s="30" t="n">
        <v>1</v>
      </c>
      <c r="M253" s="25">
        <f>(J253+K253)*L253</f>
        <v/>
      </c>
      <c r="N253" s="25">
        <f>13.27*L253</f>
        <v/>
      </c>
      <c r="O253" s="25">
        <f>8.59*L253</f>
        <v/>
      </c>
      <c r="P253" s="25">
        <f>4.68*L253</f>
        <v/>
      </c>
      <c r="Q253" s="25" t="n"/>
      <c r="R253" s="25" t="n"/>
      <c r="S253" s="28" t="n">
        <v>3277</v>
      </c>
    </row>
    <row r="254">
      <c r="A254" s="28" t="n">
        <v>253</v>
      </c>
      <c r="B254" s="28" t="inlineStr">
        <is>
          <t>Base</t>
        </is>
      </c>
      <c r="C254" s="28" t="inlineStr">
        <is>
          <t>Cobertura</t>
        </is>
      </c>
      <c r="D254" s="28" t="inlineStr">
        <is>
          <t>A</t>
        </is>
      </c>
      <c r="E254" s="28" t="n">
        <v>117</v>
      </c>
      <c r="F254" s="28" t="inlineStr">
        <is>
          <t>3.17.2</t>
        </is>
      </c>
      <c r="G254" s="28" t="inlineStr">
        <is>
          <t>Laje Impermeabilizada 09</t>
        </is>
      </c>
      <c r="H254" s="28" t="inlineStr">
        <is>
          <t>9</t>
        </is>
      </c>
      <c r="I254" s="28" t="inlineStr">
        <is>
          <t>M44AXPS</t>
        </is>
      </c>
      <c r="J254" s="29" t="n">
        <v>10.63</v>
      </c>
      <c r="K254" s="29" t="n">
        <v>9.16</v>
      </c>
      <c r="L254" s="30" t="n">
        <v>1</v>
      </c>
      <c r="M254" s="25">
        <f>(J254+K254)*L254</f>
        <v/>
      </c>
      <c r="N254" s="25">
        <f>19.79*L254</f>
        <v/>
      </c>
      <c r="O254" s="25">
        <f>10.63*L254</f>
        <v/>
      </c>
      <c r="P254" s="25">
        <f>9.16*L254</f>
        <v/>
      </c>
      <c r="Q254" s="25" t="n"/>
      <c r="R254" s="25" t="n"/>
      <c r="S254" s="28" t="n">
        <v>3292</v>
      </c>
    </row>
    <row r="255">
      <c r="A255" s="28" t="n">
        <v>254</v>
      </c>
      <c r="B255" s="28" t="inlineStr">
        <is>
          <t>Base</t>
        </is>
      </c>
      <c r="C255" s="28" t="inlineStr">
        <is>
          <t>Cobertura</t>
        </is>
      </c>
      <c r="D255" s="28" t="inlineStr">
        <is>
          <t>A</t>
        </is>
      </c>
      <c r="E255" s="28" t="n">
        <v>117</v>
      </c>
      <c r="F255" s="28" t="inlineStr">
        <is>
          <t>3.17.2</t>
        </is>
      </c>
      <c r="G255" s="28" t="inlineStr">
        <is>
          <t>Laje Impermeabilizada 10</t>
        </is>
      </c>
      <c r="H255" s="28" t="inlineStr">
        <is>
          <t>10</t>
        </is>
      </c>
      <c r="I255" s="28" t="inlineStr">
        <is>
          <t>M44AXPS</t>
        </is>
      </c>
      <c r="J255" s="29" t="n">
        <v>13.95</v>
      </c>
      <c r="K255" s="29" t="n">
        <v>8.1</v>
      </c>
      <c r="L255" s="30" t="n">
        <v>1</v>
      </c>
      <c r="M255" s="25">
        <f>(J255+K255)*L255</f>
        <v/>
      </c>
      <c r="N255" s="25">
        <f>22.05*L255</f>
        <v/>
      </c>
      <c r="O255" s="25">
        <f>13.95*L255</f>
        <v/>
      </c>
      <c r="P255" s="25">
        <f>8.1*L255</f>
        <v/>
      </c>
      <c r="Q255" s="25" t="n"/>
      <c r="R255" s="25" t="n"/>
      <c r="S255" s="28" t="n">
        <v>3308</v>
      </c>
    </row>
    <row r="256">
      <c r="A256" s="28" t="n">
        <v>255</v>
      </c>
      <c r="B256" s="28" t="inlineStr">
        <is>
          <t>Base</t>
        </is>
      </c>
      <c r="C256" s="28" t="inlineStr">
        <is>
          <t>Cobertura</t>
        </is>
      </c>
      <c r="D256" s="28" t="inlineStr">
        <is>
          <t>A</t>
        </is>
      </c>
      <c r="E256" s="28" t="n">
        <v>117</v>
      </c>
      <c r="F256" s="28" t="inlineStr">
        <is>
          <t>3.17.2</t>
        </is>
      </c>
      <c r="G256" s="28" t="inlineStr">
        <is>
          <t>Laje Impermeabilizada 11</t>
        </is>
      </c>
      <c r="H256" s="28" t="inlineStr">
        <is>
          <t>11</t>
        </is>
      </c>
      <c r="I256" s="28" t="inlineStr">
        <is>
          <t>M44AXPS</t>
        </is>
      </c>
      <c r="J256" s="29" t="n">
        <v>24.16</v>
      </c>
      <c r="K256" s="29" t="n">
        <v>11.39</v>
      </c>
      <c r="L256" s="30" t="n">
        <v>2</v>
      </c>
      <c r="M256" s="25">
        <f>(J256+K256)*L256</f>
        <v/>
      </c>
      <c r="N256" s="25">
        <f>35.55*L256</f>
        <v/>
      </c>
      <c r="O256" s="25">
        <f>24.16*L256</f>
        <v/>
      </c>
      <c r="P256" s="25">
        <f>11.39*L256</f>
        <v/>
      </c>
      <c r="Q256" s="25" t="n"/>
      <c r="R256" s="25" t="n"/>
      <c r="S256" s="28" t="n">
        <v>3324</v>
      </c>
    </row>
    <row r="257">
      <c r="A257" s="28" t="n">
        <v>256</v>
      </c>
      <c r="B257" s="28" t="inlineStr">
        <is>
          <t>Base</t>
        </is>
      </c>
      <c r="C257" s="28" t="inlineStr">
        <is>
          <t>Cobertura</t>
        </is>
      </c>
      <c r="D257" s="28" t="inlineStr">
        <is>
          <t>A</t>
        </is>
      </c>
      <c r="E257" s="28" t="n">
        <v>117</v>
      </c>
      <c r="F257" s="28" t="inlineStr">
        <is>
          <t>3.17.2</t>
        </is>
      </c>
      <c r="G257" s="28" t="inlineStr">
        <is>
          <t>Laje Impermeabilizada 12</t>
        </is>
      </c>
      <c r="H257" s="28" t="inlineStr">
        <is>
          <t>12</t>
        </is>
      </c>
      <c r="I257" s="28" t="inlineStr">
        <is>
          <t>M44AXPS</t>
        </is>
      </c>
      <c r="J257" s="29" t="n">
        <v>449.14</v>
      </c>
      <c r="K257" s="29" t="n">
        <v>95.34</v>
      </c>
      <c r="L257" s="30" t="n">
        <v>1</v>
      </c>
      <c r="M257" s="25">
        <f>(J257+K257)*L257</f>
        <v/>
      </c>
      <c r="N257" s="25">
        <f>544.48*L257</f>
        <v/>
      </c>
      <c r="O257" s="25">
        <f>449.14*L257</f>
        <v/>
      </c>
      <c r="P257" s="25">
        <f>95.34*L257</f>
        <v/>
      </c>
      <c r="Q257" s="25" t="n"/>
      <c r="R257" s="25" t="n"/>
      <c r="S257" s="28" t="n">
        <v>3340</v>
      </c>
    </row>
    <row r="258">
      <c r="A258" s="28" t="n">
        <v>257</v>
      </c>
      <c r="B258" s="28" t="inlineStr">
        <is>
          <t>Base</t>
        </is>
      </c>
      <c r="C258" s="28" t="inlineStr">
        <is>
          <t>Cobertura</t>
        </is>
      </c>
      <c r="D258" s="28" t="inlineStr">
        <is>
          <t>A</t>
        </is>
      </c>
      <c r="E258" s="28" t="n">
        <v>117</v>
      </c>
      <c r="F258" s="28" t="inlineStr">
        <is>
          <t>3.17.3</t>
        </is>
      </c>
      <c r="G258" s="28" t="inlineStr">
        <is>
          <t>Cobertura Dutos</t>
        </is>
      </c>
      <c r="H258" s="28" t="inlineStr">
        <is>
          <t>13</t>
        </is>
      </c>
      <c r="I258" s="28" t="inlineStr">
        <is>
          <t>I30</t>
        </is>
      </c>
      <c r="J258" s="29" t="n">
        <v>5.83</v>
      </c>
      <c r="K258" s="29" t="n">
        <v>5.88</v>
      </c>
      <c r="L258" s="30" t="n">
        <v>1</v>
      </c>
      <c r="M258" s="25">
        <f>(J258+K258)*L258</f>
        <v/>
      </c>
      <c r="N258" s="25">
        <f>11.71*L258</f>
        <v/>
      </c>
      <c r="O258" s="25" t="n"/>
      <c r="P258" s="25" t="n"/>
      <c r="Q258" s="25" t="n"/>
      <c r="R258" s="25" t="n"/>
      <c r="S258" s="28" t="n">
        <v>3357</v>
      </c>
    </row>
    <row r="259">
      <c r="A259" s="28" t="n">
        <v>258</v>
      </c>
      <c r="B259" s="28" t="inlineStr">
        <is>
          <t>Base</t>
        </is>
      </c>
      <c r="C259" s="28" t="inlineStr">
        <is>
          <t>Cobertura</t>
        </is>
      </c>
      <c r="D259" s="28" t="inlineStr">
        <is>
          <t>B</t>
        </is>
      </c>
      <c r="E259" s="28" t="n">
        <v>118</v>
      </c>
      <c r="F259" s="28" t="inlineStr">
        <is>
          <t>3.18.1</t>
        </is>
      </c>
      <c r="G259" s="28" t="inlineStr">
        <is>
          <t>Laje Impermeabilizada 01</t>
        </is>
      </c>
      <c r="H259" s="28" t="inlineStr">
        <is>
          <t>1</t>
        </is>
      </c>
      <c r="I259" s="28" t="inlineStr">
        <is>
          <t>M44A</t>
        </is>
      </c>
      <c r="J259" s="29" t="n">
        <v>3.39</v>
      </c>
      <c r="K259" s="29" t="n">
        <v>2.95</v>
      </c>
      <c r="L259" s="30" t="n">
        <v>2</v>
      </c>
      <c r="M259" s="25">
        <f>(J259+K259)*L259</f>
        <v/>
      </c>
      <c r="N259" s="25">
        <f>6.34*L259</f>
        <v/>
      </c>
      <c r="O259" s="25">
        <f>3.39*L259</f>
        <v/>
      </c>
      <c r="P259" s="25">
        <f>2.95*L259</f>
        <v/>
      </c>
      <c r="Q259" s="25" t="n"/>
      <c r="R259" s="25" t="n"/>
      <c r="S259" s="28" t="n">
        <v>3378</v>
      </c>
    </row>
    <row r="260">
      <c r="A260" s="28" t="n">
        <v>259</v>
      </c>
      <c r="B260" s="28" t="inlineStr">
        <is>
          <t>Base</t>
        </is>
      </c>
      <c r="C260" s="28" t="inlineStr">
        <is>
          <t>Cobertura</t>
        </is>
      </c>
      <c r="D260" s="28" t="inlineStr">
        <is>
          <t>B</t>
        </is>
      </c>
      <c r="E260" s="28" t="n">
        <v>118</v>
      </c>
      <c r="F260" s="28" t="inlineStr">
        <is>
          <t>3.18.1</t>
        </is>
      </c>
      <c r="G260" s="28" t="inlineStr">
        <is>
          <t>Laje Impermeabilizada 02</t>
        </is>
      </c>
      <c r="H260" s="28" t="inlineStr">
        <is>
          <t>2</t>
        </is>
      </c>
      <c r="I260" s="28" t="inlineStr">
        <is>
          <t>M44A</t>
        </is>
      </c>
      <c r="J260" s="29" t="n">
        <v>7.06</v>
      </c>
      <c r="K260" s="29" t="n">
        <v>4.42</v>
      </c>
      <c r="L260" s="30" t="n">
        <v>2</v>
      </c>
      <c r="M260" s="25">
        <f>(J260+K260)*L260</f>
        <v/>
      </c>
      <c r="N260" s="25">
        <f>11.48*L260</f>
        <v/>
      </c>
      <c r="O260" s="25">
        <f>7.06*L260</f>
        <v/>
      </c>
      <c r="P260" s="25">
        <f>4.42*L260</f>
        <v/>
      </c>
      <c r="Q260" s="25" t="n"/>
      <c r="R260" s="25" t="n"/>
      <c r="S260" s="28" t="n">
        <v>3392</v>
      </c>
    </row>
    <row r="261">
      <c r="A261" s="28" t="n">
        <v>260</v>
      </c>
      <c r="B261" s="28" t="inlineStr">
        <is>
          <t>Base</t>
        </is>
      </c>
      <c r="C261" s="28" t="inlineStr">
        <is>
          <t>Cobertura</t>
        </is>
      </c>
      <c r="D261" s="28" t="inlineStr">
        <is>
          <t>B</t>
        </is>
      </c>
      <c r="E261" s="28" t="n">
        <v>118</v>
      </c>
      <c r="F261" s="28" t="inlineStr">
        <is>
          <t>3.18.1</t>
        </is>
      </c>
      <c r="G261" s="28" t="inlineStr">
        <is>
          <t>Laje Impermeabilizada 03</t>
        </is>
      </c>
      <c r="H261" s="28" t="inlineStr">
        <is>
          <t>3</t>
        </is>
      </c>
      <c r="I261" s="28" t="inlineStr">
        <is>
          <t>M44A</t>
        </is>
      </c>
      <c r="J261" s="29" t="n">
        <v>7.25</v>
      </c>
      <c r="K261" s="29" t="n">
        <v>3.51</v>
      </c>
      <c r="L261" s="30" t="n">
        <v>1</v>
      </c>
      <c r="M261" s="25">
        <f>(J261+K261)*L261</f>
        <v/>
      </c>
      <c r="N261" s="25">
        <f>10.76*L261</f>
        <v/>
      </c>
      <c r="O261" s="25">
        <f>7.25*L261</f>
        <v/>
      </c>
      <c r="P261" s="25">
        <f>3.51*L261</f>
        <v/>
      </c>
      <c r="Q261" s="25" t="n"/>
      <c r="R261" s="25" t="n"/>
      <c r="S261" s="28" t="n">
        <v>3406</v>
      </c>
    </row>
    <row r="262">
      <c r="A262" s="28" t="n">
        <v>261</v>
      </c>
      <c r="B262" s="28" t="inlineStr">
        <is>
          <t>Base</t>
        </is>
      </c>
      <c r="C262" s="28" t="inlineStr">
        <is>
          <t>Cobertura</t>
        </is>
      </c>
      <c r="D262" s="28" t="inlineStr">
        <is>
          <t>B</t>
        </is>
      </c>
      <c r="E262" s="28" t="n">
        <v>118</v>
      </c>
      <c r="F262" s="28" t="inlineStr">
        <is>
          <t>3.18.1</t>
        </is>
      </c>
      <c r="G262" s="28" t="inlineStr">
        <is>
          <t>Laje Impermeabilizada 04</t>
        </is>
      </c>
      <c r="H262" s="28" t="inlineStr">
        <is>
          <t>4</t>
        </is>
      </c>
      <c r="I262" s="28" t="inlineStr">
        <is>
          <t>M44A</t>
        </is>
      </c>
      <c r="J262" s="29" t="n">
        <v>4.8</v>
      </c>
      <c r="K262" s="29" t="n">
        <v>3.81</v>
      </c>
      <c r="L262" s="30" t="n">
        <v>2</v>
      </c>
      <c r="M262" s="25">
        <f>(J262+K262)*L262</f>
        <v/>
      </c>
      <c r="N262" s="25">
        <f>8.61*L262</f>
        <v/>
      </c>
      <c r="O262" s="25">
        <f>4.8*L262</f>
        <v/>
      </c>
      <c r="P262" s="25">
        <f>3.81*L262</f>
        <v/>
      </c>
      <c r="Q262" s="25" t="n"/>
      <c r="R262" s="25" t="n"/>
      <c r="S262" s="28" t="n">
        <v>3420</v>
      </c>
    </row>
    <row r="263">
      <c r="A263" s="28" t="n">
        <v>262</v>
      </c>
      <c r="B263" s="28" t="inlineStr">
        <is>
          <t>Base</t>
        </is>
      </c>
      <c r="C263" s="28" t="inlineStr">
        <is>
          <t>Cobertura</t>
        </is>
      </c>
      <c r="D263" s="28" t="inlineStr">
        <is>
          <t>B</t>
        </is>
      </c>
      <c r="E263" s="28" t="n">
        <v>118</v>
      </c>
      <c r="F263" s="28" t="inlineStr">
        <is>
          <t>3.18.1</t>
        </is>
      </c>
      <c r="G263" s="28" t="inlineStr">
        <is>
          <t>Laje Impermeabilizada 05</t>
        </is>
      </c>
      <c r="H263" s="28" t="inlineStr">
        <is>
          <t>5</t>
        </is>
      </c>
      <c r="I263" s="28" t="inlineStr">
        <is>
          <t>M44A</t>
        </is>
      </c>
      <c r="J263" s="29" t="n">
        <v>8.289999999999999</v>
      </c>
      <c r="K263" s="29" t="n">
        <v>4.6</v>
      </c>
      <c r="L263" s="30" t="n">
        <v>2</v>
      </c>
      <c r="M263" s="25">
        <f>(J263+K263)*L263</f>
        <v/>
      </c>
      <c r="N263" s="25">
        <f>12.89*L263</f>
        <v/>
      </c>
      <c r="O263" s="25">
        <f>8.29*L263</f>
        <v/>
      </c>
      <c r="P263" s="25">
        <f>4.6*L263</f>
        <v/>
      </c>
      <c r="Q263" s="25" t="n"/>
      <c r="R263" s="25" t="n"/>
      <c r="S263" s="28" t="n">
        <v>3434</v>
      </c>
    </row>
    <row r="264">
      <c r="A264" s="28" t="n">
        <v>263</v>
      </c>
      <c r="B264" s="28" t="inlineStr">
        <is>
          <t>Base</t>
        </is>
      </c>
      <c r="C264" s="28" t="inlineStr">
        <is>
          <t>Cobertura</t>
        </is>
      </c>
      <c r="D264" s="28" t="inlineStr">
        <is>
          <t>B</t>
        </is>
      </c>
      <c r="E264" s="28" t="n">
        <v>118</v>
      </c>
      <c r="F264" s="28" t="inlineStr">
        <is>
          <t>3.18.1</t>
        </is>
      </c>
      <c r="G264" s="28" t="inlineStr">
        <is>
          <t>Laje Impermeabilizada 06</t>
        </is>
      </c>
      <c r="H264" s="28" t="inlineStr">
        <is>
          <t>6</t>
        </is>
      </c>
      <c r="I264" s="28" t="inlineStr">
        <is>
          <t>M44A</t>
        </is>
      </c>
      <c r="J264" s="29" t="n">
        <v>33.41</v>
      </c>
      <c r="K264" s="29" t="n">
        <v>9.84</v>
      </c>
      <c r="L264" s="30" t="n">
        <v>1</v>
      </c>
      <c r="M264" s="25">
        <f>(J264+K264)*L264</f>
        <v/>
      </c>
      <c r="N264" s="25">
        <f>43.25*L264</f>
        <v/>
      </c>
      <c r="O264" s="25">
        <f>33.41*L264</f>
        <v/>
      </c>
      <c r="P264" s="25">
        <f>9.84*L264</f>
        <v/>
      </c>
      <c r="Q264" s="25" t="n"/>
      <c r="R264" s="25" t="n"/>
      <c r="S264" s="28" t="n">
        <v>3448</v>
      </c>
    </row>
    <row r="265">
      <c r="A265" s="28" t="n">
        <v>264</v>
      </c>
      <c r="B265" s="28" t="inlineStr">
        <is>
          <t>Base</t>
        </is>
      </c>
      <c r="C265" s="28" t="inlineStr">
        <is>
          <t>Cobertura</t>
        </is>
      </c>
      <c r="D265" s="28" t="inlineStr">
        <is>
          <t>B</t>
        </is>
      </c>
      <c r="E265" s="28" t="n">
        <v>118</v>
      </c>
      <c r="F265" s="28" t="inlineStr">
        <is>
          <t>3.18.2</t>
        </is>
      </c>
      <c r="G265" s="28" t="inlineStr">
        <is>
          <t>Laje Impermeabilizada 07</t>
        </is>
      </c>
      <c r="H265" s="28" t="inlineStr">
        <is>
          <t>7</t>
        </is>
      </c>
      <c r="I265" s="28" t="inlineStr">
        <is>
          <t>M44AXPS</t>
        </is>
      </c>
      <c r="J265" s="29" t="n">
        <v>10.63</v>
      </c>
      <c r="K265" s="29" t="n">
        <v>9.16</v>
      </c>
      <c r="L265" s="30" t="n">
        <v>2</v>
      </c>
      <c r="M265" s="25">
        <f>(J265+K265)*L265</f>
        <v/>
      </c>
      <c r="N265" s="25">
        <f>19.79*L265</f>
        <v/>
      </c>
      <c r="O265" s="25">
        <f>10.63*L265</f>
        <v/>
      </c>
      <c r="P265" s="25">
        <f>9.16*L265</f>
        <v/>
      </c>
      <c r="Q265" s="25" t="n"/>
      <c r="R265" s="25" t="n"/>
      <c r="S265" s="28" t="n">
        <v>3463</v>
      </c>
    </row>
    <row r="266">
      <c r="A266" s="28" t="n">
        <v>265</v>
      </c>
      <c r="B266" s="28" t="inlineStr">
        <is>
          <t>Base</t>
        </is>
      </c>
      <c r="C266" s="28" t="inlineStr">
        <is>
          <t>Cobertura</t>
        </is>
      </c>
      <c r="D266" s="28" t="inlineStr">
        <is>
          <t>B</t>
        </is>
      </c>
      <c r="E266" s="28" t="n">
        <v>118</v>
      </c>
      <c r="F266" s="28" t="inlineStr">
        <is>
          <t>3.18.2</t>
        </is>
      </c>
      <c r="G266" s="28" t="inlineStr">
        <is>
          <t>Laje Impermeabilizada 08</t>
        </is>
      </c>
      <c r="H266" s="28" t="inlineStr">
        <is>
          <t>8</t>
        </is>
      </c>
      <c r="I266" s="28" t="inlineStr">
        <is>
          <t>M44AXPS</t>
        </is>
      </c>
      <c r="J266" s="29" t="n">
        <v>24.19</v>
      </c>
      <c r="K266" s="29" t="n">
        <v>11.37</v>
      </c>
      <c r="L266" s="30" t="n">
        <v>2</v>
      </c>
      <c r="M266" s="25">
        <f>(J266+K266)*L266</f>
        <v/>
      </c>
      <c r="N266" s="25">
        <f>35.56*L266</f>
        <v/>
      </c>
      <c r="O266" s="25">
        <f>24.19*L266</f>
        <v/>
      </c>
      <c r="P266" s="25">
        <f>11.37*L266</f>
        <v/>
      </c>
      <c r="Q266" s="25" t="n"/>
      <c r="R266" s="25" t="n"/>
      <c r="S266" s="28" t="n">
        <v>3479</v>
      </c>
    </row>
    <row r="267">
      <c r="A267" s="28" t="n">
        <v>266</v>
      </c>
      <c r="B267" s="28" t="inlineStr">
        <is>
          <t>Base</t>
        </is>
      </c>
      <c r="C267" s="28" t="inlineStr">
        <is>
          <t>Cobertura</t>
        </is>
      </c>
      <c r="D267" s="28" t="inlineStr">
        <is>
          <t>B</t>
        </is>
      </c>
      <c r="E267" s="28" t="n">
        <v>118</v>
      </c>
      <c r="F267" s="28" t="inlineStr">
        <is>
          <t>3.18.2</t>
        </is>
      </c>
      <c r="G267" s="28" t="inlineStr">
        <is>
          <t>Laje Impermeabilizada 09</t>
        </is>
      </c>
      <c r="H267" s="28" t="inlineStr">
        <is>
          <t>9</t>
        </is>
      </c>
      <c r="I267" s="28" t="inlineStr">
        <is>
          <t>M44AXPS</t>
        </is>
      </c>
      <c r="J267" s="29" t="n">
        <v>335.83</v>
      </c>
      <c r="K267" s="29" t="n">
        <v>70.5</v>
      </c>
      <c r="L267" s="30" t="n">
        <v>1</v>
      </c>
      <c r="M267" s="25">
        <f>(J267+K267)*L267</f>
        <v/>
      </c>
      <c r="N267" s="25">
        <f>406.33*L267</f>
        <v/>
      </c>
      <c r="O267" s="25">
        <f>335.83*L267</f>
        <v/>
      </c>
      <c r="P267" s="25">
        <f>70.5*L267</f>
        <v/>
      </c>
      <c r="Q267" s="25" t="n"/>
      <c r="R267" s="25" t="n"/>
      <c r="S267" s="28" t="n">
        <v>3495</v>
      </c>
    </row>
    <row r="268">
      <c r="A268" s="28" t="n">
        <v>267</v>
      </c>
      <c r="B268" s="28" t="inlineStr">
        <is>
          <t>Base</t>
        </is>
      </c>
      <c r="C268" s="28" t="inlineStr">
        <is>
          <t>Cobertura</t>
        </is>
      </c>
      <c r="D268" s="28" t="inlineStr">
        <is>
          <t>B</t>
        </is>
      </c>
      <c r="E268" s="28" t="n">
        <v>118</v>
      </c>
      <c r="F268" s="28" t="inlineStr">
        <is>
          <t>3.18.3</t>
        </is>
      </c>
      <c r="G268" s="28" t="inlineStr">
        <is>
          <t>Cobertura Dutos</t>
        </is>
      </c>
      <c r="H268" s="28" t="inlineStr">
        <is>
          <t>10</t>
        </is>
      </c>
      <c r="I268" s="28" t="inlineStr">
        <is>
          <t>I30</t>
        </is>
      </c>
      <c r="J268" s="29" t="n">
        <v>5.04</v>
      </c>
      <c r="K268" s="29" t="n">
        <v>5.07</v>
      </c>
      <c r="L268" s="30" t="n">
        <v>1</v>
      </c>
      <c r="M268" s="25">
        <f>(J268+K268)*L268</f>
        <v/>
      </c>
      <c r="N268" s="25">
        <f>10.11*L268</f>
        <v/>
      </c>
      <c r="O268" s="25" t="n"/>
      <c r="P268" s="25" t="n"/>
      <c r="Q268" s="25" t="n"/>
      <c r="R268" s="25" t="n"/>
      <c r="S268" s="28" t="n">
        <v>3512</v>
      </c>
    </row>
    <row r="269">
      <c r="A269" s="28" t="n">
        <v>268</v>
      </c>
      <c r="B269" s="28" t="inlineStr">
        <is>
          <t>Base</t>
        </is>
      </c>
      <c r="C269" s="28" t="inlineStr">
        <is>
          <t>Cobertura</t>
        </is>
      </c>
      <c r="D269" s="28" t="inlineStr">
        <is>
          <t>C</t>
        </is>
      </c>
      <c r="E269" s="28" t="n">
        <v>119</v>
      </c>
      <c r="F269" s="28" t="inlineStr">
        <is>
          <t>3.19.1</t>
        </is>
      </c>
      <c r="G269" s="28" t="inlineStr">
        <is>
          <t>Laje Impermeabilizada 01</t>
        </is>
      </c>
      <c r="H269" s="28" t="inlineStr">
        <is>
          <t>1</t>
        </is>
      </c>
      <c r="I269" s="28" t="inlineStr">
        <is>
          <t>M44A</t>
        </is>
      </c>
      <c r="J269" s="29" t="n">
        <v>3.39</v>
      </c>
      <c r="K269" s="29" t="n">
        <v>2.95</v>
      </c>
      <c r="L269" s="30" t="n">
        <v>2</v>
      </c>
      <c r="M269" s="25">
        <f>(J269+K269)*L269</f>
        <v/>
      </c>
      <c r="N269" s="25">
        <f>6.34*L269</f>
        <v/>
      </c>
      <c r="O269" s="25">
        <f>3.39*L269</f>
        <v/>
      </c>
      <c r="P269" s="25">
        <f>2.95*L269</f>
        <v/>
      </c>
      <c r="Q269" s="25" t="n"/>
      <c r="R269" s="25" t="n"/>
      <c r="S269" s="28" t="n">
        <v>3533</v>
      </c>
    </row>
    <row r="270">
      <c r="A270" s="28" t="n">
        <v>269</v>
      </c>
      <c r="B270" s="28" t="inlineStr">
        <is>
          <t>Base</t>
        </is>
      </c>
      <c r="C270" s="28" t="inlineStr">
        <is>
          <t>Cobertura</t>
        </is>
      </c>
      <c r="D270" s="28" t="inlineStr">
        <is>
          <t>C</t>
        </is>
      </c>
      <c r="E270" s="28" t="n">
        <v>119</v>
      </c>
      <c r="F270" s="28" t="inlineStr">
        <is>
          <t>3.19.1</t>
        </is>
      </c>
      <c r="G270" s="28" t="inlineStr">
        <is>
          <t>Laje Impermeabilizada 02</t>
        </is>
      </c>
      <c r="H270" s="28" t="inlineStr">
        <is>
          <t>2</t>
        </is>
      </c>
      <c r="I270" s="28" t="inlineStr">
        <is>
          <t>M44A</t>
        </is>
      </c>
      <c r="J270" s="29" t="n">
        <v>7.06</v>
      </c>
      <c r="K270" s="29" t="n">
        <v>4.42</v>
      </c>
      <c r="L270" s="30" t="n">
        <v>2</v>
      </c>
      <c r="M270" s="25">
        <f>(J270+K270)*L270</f>
        <v/>
      </c>
      <c r="N270" s="25">
        <f>11.48*L270</f>
        <v/>
      </c>
      <c r="O270" s="25">
        <f>7.06*L270</f>
        <v/>
      </c>
      <c r="P270" s="25">
        <f>4.42*L270</f>
        <v/>
      </c>
      <c r="Q270" s="25" t="n"/>
      <c r="R270" s="25" t="n"/>
      <c r="S270" s="28" t="n">
        <v>3547</v>
      </c>
    </row>
    <row r="271">
      <c r="A271" s="28" t="n">
        <v>270</v>
      </c>
      <c r="B271" s="28" t="inlineStr">
        <is>
          <t>Base</t>
        </is>
      </c>
      <c r="C271" s="28" t="inlineStr">
        <is>
          <t>Cobertura</t>
        </is>
      </c>
      <c r="D271" s="28" t="inlineStr">
        <is>
          <t>C</t>
        </is>
      </c>
      <c r="E271" s="28" t="n">
        <v>119</v>
      </c>
      <c r="F271" s="28" t="inlineStr">
        <is>
          <t>3.19.1</t>
        </is>
      </c>
      <c r="G271" s="28" t="inlineStr">
        <is>
          <t>Laje Impermeabilizada 03</t>
        </is>
      </c>
      <c r="H271" s="28" t="inlineStr">
        <is>
          <t>3</t>
        </is>
      </c>
      <c r="I271" s="28" t="inlineStr">
        <is>
          <t>M44A</t>
        </is>
      </c>
      <c r="J271" s="29" t="n">
        <v>7.25</v>
      </c>
      <c r="K271" s="29" t="n">
        <v>3.51</v>
      </c>
      <c r="L271" s="30" t="n">
        <v>1</v>
      </c>
      <c r="M271" s="25">
        <f>(J271+K271)*L271</f>
        <v/>
      </c>
      <c r="N271" s="25">
        <f>10.76*L271</f>
        <v/>
      </c>
      <c r="O271" s="25">
        <f>7.25*L271</f>
        <v/>
      </c>
      <c r="P271" s="25">
        <f>3.51*L271</f>
        <v/>
      </c>
      <c r="Q271" s="25" t="n"/>
      <c r="R271" s="25" t="n"/>
      <c r="S271" s="28" t="n">
        <v>3561</v>
      </c>
    </row>
    <row r="272">
      <c r="A272" s="28" t="n">
        <v>271</v>
      </c>
      <c r="B272" s="28" t="inlineStr">
        <is>
          <t>Base</t>
        </is>
      </c>
      <c r="C272" s="28" t="inlineStr">
        <is>
          <t>Cobertura</t>
        </is>
      </c>
      <c r="D272" s="28" t="inlineStr">
        <is>
          <t>C</t>
        </is>
      </c>
      <c r="E272" s="28" t="n">
        <v>119</v>
      </c>
      <c r="F272" s="28" t="inlineStr">
        <is>
          <t>3.19.1</t>
        </is>
      </c>
      <c r="G272" s="28" t="inlineStr">
        <is>
          <t>Laje Impermeabilizada 04</t>
        </is>
      </c>
      <c r="H272" s="28" t="inlineStr">
        <is>
          <t>4</t>
        </is>
      </c>
      <c r="I272" s="28" t="inlineStr">
        <is>
          <t>M44A</t>
        </is>
      </c>
      <c r="J272" s="29" t="n">
        <v>4.8</v>
      </c>
      <c r="K272" s="29" t="n">
        <v>3.81</v>
      </c>
      <c r="L272" s="30" t="n">
        <v>2</v>
      </c>
      <c r="M272" s="25">
        <f>(J272+K272)*L272</f>
        <v/>
      </c>
      <c r="N272" s="25">
        <f>8.61*L272</f>
        <v/>
      </c>
      <c r="O272" s="25">
        <f>4.8*L272</f>
        <v/>
      </c>
      <c r="P272" s="25">
        <f>3.81*L272</f>
        <v/>
      </c>
      <c r="Q272" s="25" t="n"/>
      <c r="R272" s="25" t="n"/>
      <c r="S272" s="28" t="n">
        <v>3575</v>
      </c>
    </row>
    <row r="273">
      <c r="A273" s="28" t="n">
        <v>272</v>
      </c>
      <c r="B273" s="28" t="inlineStr">
        <is>
          <t>Base</t>
        </is>
      </c>
      <c r="C273" s="28" t="inlineStr">
        <is>
          <t>Cobertura</t>
        </is>
      </c>
      <c r="D273" s="28" t="inlineStr">
        <is>
          <t>C</t>
        </is>
      </c>
      <c r="E273" s="28" t="n">
        <v>119</v>
      </c>
      <c r="F273" s="28" t="inlineStr">
        <is>
          <t>3.19.1</t>
        </is>
      </c>
      <c r="G273" s="28" t="inlineStr">
        <is>
          <t>Laje Impermeabilizada 05</t>
        </is>
      </c>
      <c r="H273" s="28" t="inlineStr">
        <is>
          <t>5</t>
        </is>
      </c>
      <c r="I273" s="28" t="inlineStr">
        <is>
          <t>M44A</t>
        </is>
      </c>
      <c r="J273" s="29" t="n">
        <v>8.289999999999999</v>
      </c>
      <c r="K273" s="29" t="n">
        <v>4.6</v>
      </c>
      <c r="L273" s="30" t="n">
        <v>2</v>
      </c>
      <c r="M273" s="25">
        <f>(J273+K273)*L273</f>
        <v/>
      </c>
      <c r="N273" s="25">
        <f>12.89*L273</f>
        <v/>
      </c>
      <c r="O273" s="25">
        <f>8.29*L273</f>
        <v/>
      </c>
      <c r="P273" s="25">
        <f>4.6*L273</f>
        <v/>
      </c>
      <c r="Q273" s="25" t="n"/>
      <c r="R273" s="25" t="n"/>
      <c r="S273" s="28" t="n">
        <v>3589</v>
      </c>
    </row>
    <row r="274">
      <c r="A274" s="28" t="n">
        <v>273</v>
      </c>
      <c r="B274" s="28" t="inlineStr">
        <is>
          <t>Base</t>
        </is>
      </c>
      <c r="C274" s="28" t="inlineStr">
        <is>
          <t>Cobertura</t>
        </is>
      </c>
      <c r="D274" s="28" t="inlineStr">
        <is>
          <t>C</t>
        </is>
      </c>
      <c r="E274" s="28" t="n">
        <v>119</v>
      </c>
      <c r="F274" s="28" t="inlineStr">
        <is>
          <t>3.19.1</t>
        </is>
      </c>
      <c r="G274" s="28" t="inlineStr">
        <is>
          <t>Laje Impermeabilizada 06</t>
        </is>
      </c>
      <c r="H274" s="28" t="inlineStr">
        <is>
          <t>6</t>
        </is>
      </c>
      <c r="I274" s="28" t="inlineStr">
        <is>
          <t>M44A</t>
        </is>
      </c>
      <c r="J274" s="29" t="n">
        <v>33.41</v>
      </c>
      <c r="K274" s="29" t="n">
        <v>9.84</v>
      </c>
      <c r="L274" s="30" t="n">
        <v>1</v>
      </c>
      <c r="M274" s="25">
        <f>(J274+K274)*L274</f>
        <v/>
      </c>
      <c r="N274" s="25">
        <f>43.25*L274</f>
        <v/>
      </c>
      <c r="O274" s="25">
        <f>33.41*L274</f>
        <v/>
      </c>
      <c r="P274" s="25">
        <f>9.84*L274</f>
        <v/>
      </c>
      <c r="Q274" s="25" t="n"/>
      <c r="R274" s="25" t="n"/>
      <c r="S274" s="28" t="n">
        <v>3603</v>
      </c>
    </row>
    <row r="275">
      <c r="A275" s="28" t="n">
        <v>274</v>
      </c>
      <c r="B275" s="28" t="inlineStr">
        <is>
          <t>Base</t>
        </is>
      </c>
      <c r="C275" s="28" t="inlineStr">
        <is>
          <t>Cobertura</t>
        </is>
      </c>
      <c r="D275" s="28" t="inlineStr">
        <is>
          <t>C</t>
        </is>
      </c>
      <c r="E275" s="28" t="n">
        <v>119</v>
      </c>
      <c r="F275" s="28" t="inlineStr">
        <is>
          <t>3.19.2</t>
        </is>
      </c>
      <c r="G275" s="28" t="inlineStr">
        <is>
          <t>Laje Impermeabilizada 07</t>
        </is>
      </c>
      <c r="H275" s="28" t="inlineStr">
        <is>
          <t>7</t>
        </is>
      </c>
      <c r="I275" s="28" t="inlineStr">
        <is>
          <t>M44AXPS</t>
        </is>
      </c>
      <c r="J275" s="29" t="n">
        <v>10.63</v>
      </c>
      <c r="K275" s="29" t="n">
        <v>9.16</v>
      </c>
      <c r="L275" s="30" t="n">
        <v>2</v>
      </c>
      <c r="M275" s="25">
        <f>(J275+K275)*L275</f>
        <v/>
      </c>
      <c r="N275" s="25">
        <f>19.79*L275</f>
        <v/>
      </c>
      <c r="O275" s="25">
        <f>10.63*L275</f>
        <v/>
      </c>
      <c r="P275" s="25">
        <f>9.16*L275</f>
        <v/>
      </c>
      <c r="Q275" s="25" t="n"/>
      <c r="R275" s="25" t="n"/>
      <c r="S275" s="28" t="n">
        <v>3618</v>
      </c>
    </row>
    <row r="276">
      <c r="A276" s="28" t="n">
        <v>275</v>
      </c>
      <c r="B276" s="28" t="inlineStr">
        <is>
          <t>Base</t>
        </is>
      </c>
      <c r="C276" s="28" t="inlineStr">
        <is>
          <t>Cobertura</t>
        </is>
      </c>
      <c r="D276" s="28" t="inlineStr">
        <is>
          <t>C</t>
        </is>
      </c>
      <c r="E276" s="28" t="n">
        <v>119</v>
      </c>
      <c r="F276" s="28" t="inlineStr">
        <is>
          <t>3.19.2</t>
        </is>
      </c>
      <c r="G276" s="28" t="inlineStr">
        <is>
          <t>Laje Impermeabilizada 08</t>
        </is>
      </c>
      <c r="H276" s="28" t="inlineStr">
        <is>
          <t>8</t>
        </is>
      </c>
      <c r="I276" s="28" t="inlineStr">
        <is>
          <t>M44AXPS</t>
        </is>
      </c>
      <c r="J276" s="29" t="n">
        <v>24.19</v>
      </c>
      <c r="K276" s="29" t="n">
        <v>11.37</v>
      </c>
      <c r="L276" s="30" t="n">
        <v>2</v>
      </c>
      <c r="M276" s="25">
        <f>(J276+K276)*L276</f>
        <v/>
      </c>
      <c r="N276" s="25">
        <f>35.56*L276</f>
        <v/>
      </c>
      <c r="O276" s="25">
        <f>24.19*L276</f>
        <v/>
      </c>
      <c r="P276" s="25">
        <f>11.37*L276</f>
        <v/>
      </c>
      <c r="Q276" s="25" t="n"/>
      <c r="R276" s="25" t="n"/>
      <c r="S276" s="28" t="n">
        <v>3634</v>
      </c>
    </row>
    <row r="277">
      <c r="A277" s="28" t="n">
        <v>276</v>
      </c>
      <c r="B277" s="28" t="inlineStr">
        <is>
          <t>Base</t>
        </is>
      </c>
      <c r="C277" s="28" t="inlineStr">
        <is>
          <t>Cobertura</t>
        </is>
      </c>
      <c r="D277" s="28" t="inlineStr">
        <is>
          <t>C</t>
        </is>
      </c>
      <c r="E277" s="28" t="n">
        <v>119</v>
      </c>
      <c r="F277" s="28" t="inlineStr">
        <is>
          <t>3.19.2</t>
        </is>
      </c>
      <c r="G277" s="28" t="inlineStr">
        <is>
          <t>Laje Impermeabilizada 09</t>
        </is>
      </c>
      <c r="H277" s="28" t="inlineStr">
        <is>
          <t>9</t>
        </is>
      </c>
      <c r="I277" s="28" t="inlineStr">
        <is>
          <t>M44AXPS</t>
        </is>
      </c>
      <c r="J277" s="29" t="n">
        <v>335.83</v>
      </c>
      <c r="K277" s="29" t="n">
        <v>70.5</v>
      </c>
      <c r="L277" s="30" t="n">
        <v>1</v>
      </c>
      <c r="M277" s="25">
        <f>(J277+K277)*L277</f>
        <v/>
      </c>
      <c r="N277" s="25">
        <f>406.33*L277</f>
        <v/>
      </c>
      <c r="O277" s="25">
        <f>335.83*L277</f>
        <v/>
      </c>
      <c r="P277" s="25">
        <f>70.5*L277</f>
        <v/>
      </c>
      <c r="Q277" s="25" t="n"/>
      <c r="R277" s="25" t="n"/>
      <c r="S277" s="28" t="n">
        <v>3650</v>
      </c>
    </row>
    <row r="278">
      <c r="A278" s="28" t="n">
        <v>277</v>
      </c>
      <c r="B278" s="28" t="inlineStr">
        <is>
          <t>Base</t>
        </is>
      </c>
      <c r="C278" s="28" t="inlineStr">
        <is>
          <t>Cobertura</t>
        </is>
      </c>
      <c r="D278" s="28" t="inlineStr">
        <is>
          <t>C</t>
        </is>
      </c>
      <c r="E278" s="28" t="n">
        <v>119</v>
      </c>
      <c r="F278" s="28" t="inlineStr">
        <is>
          <t>3.19.3</t>
        </is>
      </c>
      <c r="G278" s="28" t="inlineStr">
        <is>
          <t>Cobertura Dutos</t>
        </is>
      </c>
      <c r="H278" s="28" t="inlineStr">
        <is>
          <t>10</t>
        </is>
      </c>
      <c r="I278" s="28" t="inlineStr">
        <is>
          <t>I30</t>
        </is>
      </c>
      <c r="J278" s="29" t="n">
        <v>5.04</v>
      </c>
      <c r="K278" s="29" t="n">
        <v>5.07</v>
      </c>
      <c r="L278" s="30" t="n">
        <v>1</v>
      </c>
      <c r="M278" s="25">
        <f>(J278+K278)*L278</f>
        <v/>
      </c>
      <c r="N278" s="25">
        <f>10.11*L278</f>
        <v/>
      </c>
      <c r="O278" s="25" t="n"/>
      <c r="P278" s="25" t="n"/>
      <c r="Q278" s="25" t="n"/>
      <c r="R278" s="25" t="n"/>
      <c r="S278" s="28" t="n">
        <v>3667</v>
      </c>
    </row>
    <row r="279">
      <c r="A279" s="31" t="n">
        <v>278</v>
      </c>
      <c r="B279" s="31" t="inlineStr">
        <is>
          <t>Opcional piscina</t>
        </is>
      </c>
      <c r="C279" s="31" t="inlineStr">
        <is>
          <t>Térreo</t>
        </is>
      </c>
      <c r="D279" s="31" t="inlineStr">
        <is>
          <t>A</t>
        </is>
      </c>
      <c r="E279" s="31" t="n">
        <v>108</v>
      </c>
      <c r="F279" s="31" t="inlineStr">
        <is>
          <t>3.8.9</t>
        </is>
      </c>
      <c r="G279" s="31" t="inlineStr">
        <is>
          <t>Jardim Privativo</t>
        </is>
      </c>
      <c r="H279" s="31" t="inlineStr">
        <is>
          <t>A</t>
        </is>
      </c>
      <c r="I279" s="31" t="inlineStr">
        <is>
          <t>M44AR05</t>
        </is>
      </c>
      <c r="J279" s="32" t="n">
        <v>45.37</v>
      </c>
      <c r="K279" s="32" t="n">
        <v>81.14</v>
      </c>
      <c r="L279" s="33" t="n">
        <v>1</v>
      </c>
      <c r="M279" s="34">
        <f>(J279+K279)*L279</f>
        <v/>
      </c>
      <c r="N279" s="34">
        <f>126.51*L279</f>
        <v/>
      </c>
      <c r="O279" s="34">
        <f>45.37*L279</f>
        <v/>
      </c>
      <c r="P279" s="34">
        <f>81.14*L279</f>
        <v/>
      </c>
      <c r="Q279" s="34" t="n"/>
      <c r="R279" s="34">
        <f>45.37*L279</f>
        <v/>
      </c>
      <c r="S279" s="28" t="n">
        <v>743</v>
      </c>
    </row>
    <row r="280">
      <c r="A280" s="31" t="n">
        <v>279</v>
      </c>
      <c r="B280" s="31" t="inlineStr">
        <is>
          <t>Opcional piscina</t>
        </is>
      </c>
      <c r="C280" s="31" t="inlineStr">
        <is>
          <t>Térreo</t>
        </is>
      </c>
      <c r="D280" s="31" t="inlineStr">
        <is>
          <t>A</t>
        </is>
      </c>
      <c r="E280" s="31" t="n">
        <v>108</v>
      </c>
      <c r="F280" s="31" t="inlineStr">
        <is>
          <t>3.8.7</t>
        </is>
      </c>
      <c r="G280" s="31" t="inlineStr">
        <is>
          <t>Laje sob piscina</t>
        </is>
      </c>
      <c r="H280" s="31" t="inlineStr">
        <is>
          <t>B</t>
        </is>
      </c>
      <c r="I280" s="31" t="inlineStr">
        <is>
          <t>M44A</t>
        </is>
      </c>
      <c r="J280" s="32" t="n">
        <v>12.5</v>
      </c>
      <c r="K280" s="32" t="n">
        <v>0</v>
      </c>
      <c r="L280" s="33" t="n">
        <v>1</v>
      </c>
      <c r="M280" s="34">
        <f>(J280+K280)*L280</f>
        <v/>
      </c>
      <c r="N280" s="34">
        <f>12.5*L280</f>
        <v/>
      </c>
      <c r="O280" s="34">
        <f>12.5*L280</f>
        <v/>
      </c>
      <c r="P280" s="34" t="n"/>
      <c r="Q280" s="34" t="n"/>
      <c r="R280" s="34" t="n"/>
      <c r="S280" s="28" t="n">
        <v>760</v>
      </c>
    </row>
    <row r="281">
      <c r="A281" s="31" t="n">
        <v>280</v>
      </c>
      <c r="B281" s="31" t="inlineStr">
        <is>
          <t>Opcional piscina</t>
        </is>
      </c>
      <c r="C281" s="31" t="inlineStr">
        <is>
          <t>Térreo</t>
        </is>
      </c>
      <c r="D281" s="31" t="inlineStr">
        <is>
          <t>A</t>
        </is>
      </c>
      <c r="E281" s="31" t="n">
        <v>108</v>
      </c>
      <c r="F281" s="31" t="inlineStr">
        <is>
          <t>3.8.7</t>
        </is>
      </c>
      <c r="G281" s="31" t="inlineStr">
        <is>
          <t>Laje sob enchimento piscina</t>
        </is>
      </c>
      <c r="H281" s="31" t="inlineStr">
        <is>
          <t>C</t>
        </is>
      </c>
      <c r="I281" s="31" t="inlineStr">
        <is>
          <t>M44A</t>
        </is>
      </c>
      <c r="J281" s="32" t="n">
        <v>4.62</v>
      </c>
      <c r="K281" s="32" t="n">
        <v>5.09</v>
      </c>
      <c r="L281" s="33" t="n">
        <v>1</v>
      </c>
      <c r="M281" s="34">
        <f>(J281+K281)*L281</f>
        <v/>
      </c>
      <c r="N281" s="34">
        <f>9.71*L281</f>
        <v/>
      </c>
      <c r="O281" s="34">
        <f>4.62*L281</f>
        <v/>
      </c>
      <c r="P281" s="34">
        <f>5.09*L281</f>
        <v/>
      </c>
      <c r="Q281" s="34" t="n"/>
      <c r="R281" s="34" t="n"/>
      <c r="S281" s="28" t="n">
        <v>774</v>
      </c>
    </row>
    <row r="282">
      <c r="A282" s="31" t="n">
        <v>281</v>
      </c>
      <c r="B282" s="31" t="inlineStr">
        <is>
          <t>Opcional piscina</t>
        </is>
      </c>
      <c r="C282" s="31" t="inlineStr">
        <is>
          <t>Térreo</t>
        </is>
      </c>
      <c r="D282" s="31" t="inlineStr">
        <is>
          <t>A</t>
        </is>
      </c>
      <c r="E282" s="31" t="n">
        <v>108</v>
      </c>
      <c r="F282" s="31" t="inlineStr">
        <is>
          <t>3.8.7</t>
        </is>
      </c>
      <c r="G282" s="31" t="inlineStr">
        <is>
          <t>Casa de Bombas</t>
        </is>
      </c>
      <c r="H282" s="31" t="inlineStr">
        <is>
          <t>D</t>
        </is>
      </c>
      <c r="I282" s="31" t="inlineStr">
        <is>
          <t>M44A</t>
        </is>
      </c>
      <c r="J282" s="32" t="n">
        <v>3.73</v>
      </c>
      <c r="K282" s="32" t="n">
        <v>2.49</v>
      </c>
      <c r="L282" s="33" t="n">
        <v>1</v>
      </c>
      <c r="M282" s="34">
        <f>(J282+K282)*L282</f>
        <v/>
      </c>
      <c r="N282" s="34">
        <f>6.22*L282</f>
        <v/>
      </c>
      <c r="O282" s="34">
        <f>3.73*L282</f>
        <v/>
      </c>
      <c r="P282" s="34">
        <f>2.49*L282</f>
        <v/>
      </c>
      <c r="Q282" s="34" t="n"/>
      <c r="R282" s="34" t="n"/>
      <c r="S282" s="28" t="n">
        <v>788</v>
      </c>
    </row>
    <row r="283">
      <c r="A283" s="31" t="n">
        <v>282</v>
      </c>
      <c r="B283" s="31" t="inlineStr">
        <is>
          <t>Opcional piscina</t>
        </is>
      </c>
      <c r="C283" s="31" t="inlineStr">
        <is>
          <t>Térreo</t>
        </is>
      </c>
      <c r="D283" s="31" t="inlineStr">
        <is>
          <t>A</t>
        </is>
      </c>
      <c r="E283" s="31" t="n">
        <v>108</v>
      </c>
      <c r="F283" s="31" t="inlineStr">
        <is>
          <t>3.8.11</t>
        </is>
      </c>
      <c r="G283" s="31" t="inlineStr">
        <is>
          <t>Piscina</t>
        </is>
      </c>
      <c r="H283" s="31" t="inlineStr">
        <is>
          <t>E</t>
        </is>
      </c>
      <c r="I283" s="31" t="inlineStr">
        <is>
          <t>M44AD2</t>
        </is>
      </c>
      <c r="J283" s="32" t="n">
        <v>12.5</v>
      </c>
      <c r="K283" s="32" t="n">
        <v>25.49</v>
      </c>
      <c r="L283" s="33" t="n">
        <v>1</v>
      </c>
      <c r="M283" s="34">
        <f>(J283+K283)*L283</f>
        <v/>
      </c>
      <c r="N283" s="34">
        <f>37.99*L283</f>
        <v/>
      </c>
      <c r="O283" s="34">
        <f>12.5*L283</f>
        <v/>
      </c>
      <c r="P283" s="34">
        <f>25.49*L283</f>
        <v/>
      </c>
      <c r="Q283" s="34" t="n"/>
      <c r="R283" s="34" t="n"/>
      <c r="S283" s="28" t="n">
        <v>803</v>
      </c>
    </row>
    <row r="284">
      <c r="A284" s="31" t="n">
        <v>283</v>
      </c>
      <c r="B284" s="31" t="inlineStr">
        <is>
          <t>Opcional piscina</t>
        </is>
      </c>
      <c r="C284" s="31" t="inlineStr">
        <is>
          <t>Térreo</t>
        </is>
      </c>
      <c r="D284" s="31" t="inlineStr">
        <is>
          <t>B</t>
        </is>
      </c>
      <c r="E284" s="31" t="n">
        <v>109</v>
      </c>
      <c r="F284" s="31" t="inlineStr">
        <is>
          <t>3.9.7</t>
        </is>
      </c>
      <c r="G284" s="31" t="inlineStr">
        <is>
          <t>Jardim Privativo</t>
        </is>
      </c>
      <c r="H284" s="31" t="inlineStr">
        <is>
          <t>A</t>
        </is>
      </c>
      <c r="I284" s="31" t="inlineStr">
        <is>
          <t>M44AR05</t>
        </is>
      </c>
      <c r="J284" s="32" t="n">
        <v>40.99</v>
      </c>
      <c r="K284" s="32" t="n">
        <v>79.52</v>
      </c>
      <c r="L284" s="33" t="n">
        <v>1</v>
      </c>
      <c r="M284" s="34">
        <f>(J284+K284)*L284</f>
        <v/>
      </c>
      <c r="N284" s="34">
        <f>120.51*L284</f>
        <v/>
      </c>
      <c r="O284" s="34">
        <f>40.99*L284</f>
        <v/>
      </c>
      <c r="P284" s="34">
        <f>79.52*L284</f>
        <v/>
      </c>
      <c r="Q284" s="34" t="n"/>
      <c r="R284" s="34">
        <f>40.99*L284</f>
        <v/>
      </c>
      <c r="S284" s="28" t="n">
        <v>1153</v>
      </c>
    </row>
    <row r="285">
      <c r="A285" s="31" t="n">
        <v>284</v>
      </c>
      <c r="B285" s="31" t="inlineStr">
        <is>
          <t>Opcional piscina</t>
        </is>
      </c>
      <c r="C285" s="31" t="inlineStr">
        <is>
          <t>Térreo</t>
        </is>
      </c>
      <c r="D285" s="31" t="inlineStr">
        <is>
          <t>B</t>
        </is>
      </c>
      <c r="E285" s="31" t="n">
        <v>109</v>
      </c>
      <c r="F285" s="31" t="inlineStr">
        <is>
          <t>3.9.5</t>
        </is>
      </c>
      <c r="G285" s="31" t="inlineStr">
        <is>
          <t>Laje sob piscina</t>
        </is>
      </c>
      <c r="H285" s="31" t="inlineStr">
        <is>
          <t>B</t>
        </is>
      </c>
      <c r="I285" s="31" t="inlineStr">
        <is>
          <t>M44A</t>
        </is>
      </c>
      <c r="J285" s="32" t="n">
        <v>12.5</v>
      </c>
      <c r="K285" s="32" t="n">
        <v>0</v>
      </c>
      <c r="L285" s="33" t="n">
        <v>1</v>
      </c>
      <c r="M285" s="34">
        <f>(J285+K285)*L285</f>
        <v/>
      </c>
      <c r="N285" s="34">
        <f>12.5*L285</f>
        <v/>
      </c>
      <c r="O285" s="34">
        <f>12.5*L285</f>
        <v/>
      </c>
      <c r="P285" s="34" t="n"/>
      <c r="Q285" s="34" t="n"/>
      <c r="R285" s="34" t="n"/>
      <c r="S285" s="28" t="n">
        <v>1170</v>
      </c>
    </row>
    <row r="286">
      <c r="A286" s="31" t="n">
        <v>285</v>
      </c>
      <c r="B286" s="31" t="inlineStr">
        <is>
          <t>Opcional piscina</t>
        </is>
      </c>
      <c r="C286" s="31" t="inlineStr">
        <is>
          <t>Térreo</t>
        </is>
      </c>
      <c r="D286" s="31" t="inlineStr">
        <is>
          <t>B</t>
        </is>
      </c>
      <c r="E286" s="31" t="n">
        <v>109</v>
      </c>
      <c r="F286" s="31" t="inlineStr">
        <is>
          <t>3.9.5</t>
        </is>
      </c>
      <c r="G286" s="31" t="inlineStr">
        <is>
          <t>Laje sob enchimento piscina</t>
        </is>
      </c>
      <c r="H286" s="31" t="inlineStr">
        <is>
          <t>C</t>
        </is>
      </c>
      <c r="I286" s="31" t="inlineStr">
        <is>
          <t>M44A</t>
        </is>
      </c>
      <c r="J286" s="32" t="n">
        <v>4.62</v>
      </c>
      <c r="K286" s="32" t="n">
        <v>5.09</v>
      </c>
      <c r="L286" s="33" t="n">
        <v>1</v>
      </c>
      <c r="M286" s="34">
        <f>(J286+K286)*L286</f>
        <v/>
      </c>
      <c r="N286" s="34">
        <f>9.71*L286</f>
        <v/>
      </c>
      <c r="O286" s="34">
        <f>4.62*L286</f>
        <v/>
      </c>
      <c r="P286" s="34">
        <f>5.09*L286</f>
        <v/>
      </c>
      <c r="Q286" s="34" t="n"/>
      <c r="R286" s="34" t="n"/>
      <c r="S286" s="28" t="n">
        <v>1184</v>
      </c>
    </row>
    <row r="287">
      <c r="A287" s="31" t="n">
        <v>286</v>
      </c>
      <c r="B287" s="31" t="inlineStr">
        <is>
          <t>Opcional piscina</t>
        </is>
      </c>
      <c r="C287" s="31" t="inlineStr">
        <is>
          <t>Térreo</t>
        </is>
      </c>
      <c r="D287" s="31" t="inlineStr">
        <is>
          <t>B</t>
        </is>
      </c>
      <c r="E287" s="31" t="n">
        <v>109</v>
      </c>
      <c r="F287" s="31" t="inlineStr">
        <is>
          <t>3.9.5</t>
        </is>
      </c>
      <c r="G287" s="31" t="inlineStr">
        <is>
          <t>Casa de Bombas</t>
        </is>
      </c>
      <c r="H287" s="31" t="inlineStr">
        <is>
          <t>D</t>
        </is>
      </c>
      <c r="I287" s="31" t="inlineStr">
        <is>
          <t>M44A</t>
        </is>
      </c>
      <c r="J287" s="32" t="n">
        <v>3.73</v>
      </c>
      <c r="K287" s="32" t="n">
        <v>2.49</v>
      </c>
      <c r="L287" s="33" t="n">
        <v>1</v>
      </c>
      <c r="M287" s="34">
        <f>(J287+K287)*L287</f>
        <v/>
      </c>
      <c r="N287" s="34">
        <f>6.22*L287</f>
        <v/>
      </c>
      <c r="O287" s="34">
        <f>3.73*L287</f>
        <v/>
      </c>
      <c r="P287" s="34">
        <f>2.49*L287</f>
        <v/>
      </c>
      <c r="Q287" s="34" t="n"/>
      <c r="R287" s="34" t="n"/>
      <c r="S287" s="28" t="n">
        <v>1198</v>
      </c>
    </row>
    <row r="288">
      <c r="A288" s="31" t="n">
        <v>287</v>
      </c>
      <c r="B288" s="31" t="inlineStr">
        <is>
          <t>Opcional piscina</t>
        </is>
      </c>
      <c r="C288" s="31" t="inlineStr">
        <is>
          <t>Térreo</t>
        </is>
      </c>
      <c r="D288" s="31" t="inlineStr">
        <is>
          <t>B</t>
        </is>
      </c>
      <c r="E288" s="31" t="n">
        <v>109</v>
      </c>
      <c r="F288" s="31" t="inlineStr">
        <is>
          <t>3.9.9</t>
        </is>
      </c>
      <c r="G288" s="31" t="inlineStr">
        <is>
          <t>Piscina</t>
        </is>
      </c>
      <c r="H288" s="31" t="inlineStr">
        <is>
          <t>E</t>
        </is>
      </c>
      <c r="I288" s="31" t="inlineStr">
        <is>
          <t>M44AD2</t>
        </is>
      </c>
      <c r="J288" s="32" t="n">
        <v>12.5</v>
      </c>
      <c r="K288" s="32" t="n">
        <v>25.49</v>
      </c>
      <c r="L288" s="33" t="n">
        <v>1</v>
      </c>
      <c r="M288" s="34">
        <f>(J288+K288)*L288</f>
        <v/>
      </c>
      <c r="N288" s="34">
        <f>37.99*L288</f>
        <v/>
      </c>
      <c r="O288" s="34">
        <f>12.5*L288</f>
        <v/>
      </c>
      <c r="P288" s="34">
        <f>25.49*L288</f>
        <v/>
      </c>
      <c r="Q288" s="34" t="n"/>
      <c r="R288" s="34" t="n"/>
      <c r="S288" s="28" t="n">
        <v>1213</v>
      </c>
    </row>
    <row r="289">
      <c r="A289" s="31" t="n">
        <v>288</v>
      </c>
      <c r="B289" s="31" t="inlineStr">
        <is>
          <t>Opcional piscina</t>
        </is>
      </c>
      <c r="C289" s="31" t="inlineStr">
        <is>
          <t>Térreo</t>
        </is>
      </c>
      <c r="D289" s="31" t="inlineStr">
        <is>
          <t>C</t>
        </is>
      </c>
      <c r="E289" s="31" t="n">
        <v>110</v>
      </c>
      <c r="F289" s="31" t="inlineStr">
        <is>
          <t>3.10.10</t>
        </is>
      </c>
      <c r="G289" s="31" t="inlineStr">
        <is>
          <t>Jardim Privativo</t>
        </is>
      </c>
      <c r="H289" s="31" t="inlineStr">
        <is>
          <t>A</t>
        </is>
      </c>
      <c r="I289" s="31" t="inlineStr">
        <is>
          <t>M44AR05</t>
        </is>
      </c>
      <c r="J289" s="32" t="n">
        <v>38.01</v>
      </c>
      <c r="K289" s="32" t="n">
        <v>78.38</v>
      </c>
      <c r="L289" s="33" t="n">
        <v>1</v>
      </c>
      <c r="M289" s="34">
        <f>(J289+K289)*L289</f>
        <v/>
      </c>
      <c r="N289" s="34">
        <f>116.39*L289</f>
        <v/>
      </c>
      <c r="O289" s="34">
        <f>38.01*L289</f>
        <v/>
      </c>
      <c r="P289" s="34">
        <f>78.38*L289</f>
        <v/>
      </c>
      <c r="Q289" s="34" t="n"/>
      <c r="R289" s="34">
        <f>38.01*L289</f>
        <v/>
      </c>
      <c r="S289" s="28" t="n">
        <v>1685</v>
      </c>
    </row>
    <row r="290">
      <c r="A290" s="31" t="n">
        <v>289</v>
      </c>
      <c r="B290" s="31" t="inlineStr">
        <is>
          <t>Opcional piscina</t>
        </is>
      </c>
      <c r="C290" s="31" t="inlineStr">
        <is>
          <t>Térreo</t>
        </is>
      </c>
      <c r="D290" s="31" t="inlineStr">
        <is>
          <t>C</t>
        </is>
      </c>
      <c r="E290" s="31" t="n">
        <v>110</v>
      </c>
      <c r="F290" s="31" t="inlineStr">
        <is>
          <t>3.10.5</t>
        </is>
      </c>
      <c r="G290" s="31" t="inlineStr">
        <is>
          <t>Laje sob piscina</t>
        </is>
      </c>
      <c r="H290" s="31" t="inlineStr">
        <is>
          <t>B</t>
        </is>
      </c>
      <c r="I290" s="31" t="inlineStr">
        <is>
          <t>M44A</t>
        </is>
      </c>
      <c r="J290" s="32" t="n">
        <v>12.5</v>
      </c>
      <c r="K290" s="32" t="n">
        <v>0</v>
      </c>
      <c r="L290" s="33" t="n">
        <v>1</v>
      </c>
      <c r="M290" s="34">
        <f>(J290+K290)*L290</f>
        <v/>
      </c>
      <c r="N290" s="34">
        <f>12.5*L290</f>
        <v/>
      </c>
      <c r="O290" s="34">
        <f>12.5*L290</f>
        <v/>
      </c>
      <c r="P290" s="34" t="n"/>
      <c r="Q290" s="34" t="n"/>
      <c r="R290" s="34" t="n"/>
      <c r="S290" s="28" t="n">
        <v>1702</v>
      </c>
    </row>
    <row r="291">
      <c r="A291" s="31" t="n">
        <v>290</v>
      </c>
      <c r="B291" s="31" t="inlineStr">
        <is>
          <t>Opcional piscina</t>
        </is>
      </c>
      <c r="C291" s="31" t="inlineStr">
        <is>
          <t>Térreo</t>
        </is>
      </c>
      <c r="D291" s="31" t="inlineStr">
        <is>
          <t>C</t>
        </is>
      </c>
      <c r="E291" s="31" t="n">
        <v>110</v>
      </c>
      <c r="F291" s="31" t="inlineStr">
        <is>
          <t>3.10.5</t>
        </is>
      </c>
      <c r="G291" s="31" t="inlineStr">
        <is>
          <t>Laje sob enchimento piscina</t>
        </is>
      </c>
      <c r="H291" s="31" t="inlineStr">
        <is>
          <t>C</t>
        </is>
      </c>
      <c r="I291" s="31" t="inlineStr">
        <is>
          <t>M44A</t>
        </is>
      </c>
      <c r="J291" s="32" t="n">
        <v>4.62</v>
      </c>
      <c r="K291" s="32" t="n">
        <v>5.09</v>
      </c>
      <c r="L291" s="33" t="n">
        <v>1</v>
      </c>
      <c r="M291" s="34">
        <f>(J291+K291)*L291</f>
        <v/>
      </c>
      <c r="N291" s="34">
        <f>9.71*L291</f>
        <v/>
      </c>
      <c r="O291" s="34">
        <f>4.62*L291</f>
        <v/>
      </c>
      <c r="P291" s="34">
        <f>5.09*L291</f>
        <v/>
      </c>
      <c r="Q291" s="34" t="n"/>
      <c r="R291" s="34" t="n"/>
      <c r="S291" s="28" t="n">
        <v>1716</v>
      </c>
    </row>
    <row r="292">
      <c r="A292" s="31" t="n">
        <v>291</v>
      </c>
      <c r="B292" s="31" t="inlineStr">
        <is>
          <t>Opcional piscina</t>
        </is>
      </c>
      <c r="C292" s="31" t="inlineStr">
        <is>
          <t>Térreo</t>
        </is>
      </c>
      <c r="D292" s="31" t="inlineStr">
        <is>
          <t>C</t>
        </is>
      </c>
      <c r="E292" s="31" t="n">
        <v>110</v>
      </c>
      <c r="F292" s="31" t="inlineStr">
        <is>
          <t>3.10.5</t>
        </is>
      </c>
      <c r="G292" s="31" t="inlineStr">
        <is>
          <t>Casa de Bombas</t>
        </is>
      </c>
      <c r="H292" s="31" t="inlineStr">
        <is>
          <t>D</t>
        </is>
      </c>
      <c r="I292" s="31" t="inlineStr">
        <is>
          <t>M44A</t>
        </is>
      </c>
      <c r="J292" s="32" t="n">
        <v>3.73</v>
      </c>
      <c r="K292" s="32" t="n">
        <v>2.49</v>
      </c>
      <c r="L292" s="33" t="n">
        <v>1</v>
      </c>
      <c r="M292" s="34">
        <f>(J292+K292)*L292</f>
        <v/>
      </c>
      <c r="N292" s="34">
        <f>6.22*L292</f>
        <v/>
      </c>
      <c r="O292" s="34">
        <f>3.73*L292</f>
        <v/>
      </c>
      <c r="P292" s="34">
        <f>2.49*L292</f>
        <v/>
      </c>
      <c r="Q292" s="34" t="n"/>
      <c r="R292" s="34" t="n"/>
      <c r="S292" s="28" t="n">
        <v>1730</v>
      </c>
    </row>
    <row r="293">
      <c r="A293" s="31" t="n">
        <v>292</v>
      </c>
      <c r="B293" s="31" t="inlineStr">
        <is>
          <t>Opcional piscina</t>
        </is>
      </c>
      <c r="C293" s="31" t="inlineStr">
        <is>
          <t>Térreo</t>
        </is>
      </c>
      <c r="D293" s="31" t="inlineStr">
        <is>
          <t>C</t>
        </is>
      </c>
      <c r="E293" s="31" t="n">
        <v>110</v>
      </c>
      <c r="F293" s="31" t="inlineStr">
        <is>
          <t>3.10.11</t>
        </is>
      </c>
      <c r="G293" s="31" t="inlineStr">
        <is>
          <t>Piscina</t>
        </is>
      </c>
      <c r="H293" s="31" t="inlineStr">
        <is>
          <t>E</t>
        </is>
      </c>
      <c r="I293" s="31" t="inlineStr">
        <is>
          <t>M44AD2</t>
        </is>
      </c>
      <c r="J293" s="32" t="n">
        <v>12.5</v>
      </c>
      <c r="K293" s="32" t="n">
        <v>25.49</v>
      </c>
      <c r="L293" s="33" t="n">
        <v>1</v>
      </c>
      <c r="M293" s="34">
        <f>(J293+K293)*L293</f>
        <v/>
      </c>
      <c r="N293" s="34">
        <f>37.99*L293</f>
        <v/>
      </c>
      <c r="O293" s="34">
        <f>12.5*L293</f>
        <v/>
      </c>
      <c r="P293" s="34">
        <f>25.49*L293</f>
        <v/>
      </c>
      <c r="Q293" s="34" t="n"/>
      <c r="R293" s="34" t="n"/>
      <c r="S293" s="28" t="n">
        <v>1745</v>
      </c>
    </row>
    <row r="294">
      <c r="A294" s="31" t="n">
        <v>293</v>
      </c>
      <c r="B294" s="31" t="inlineStr">
        <is>
          <t>Opcional piscina</t>
        </is>
      </c>
      <c r="C294" s="31" t="inlineStr">
        <is>
          <t>2º Pavimento</t>
        </is>
      </c>
      <c r="D294" s="31" t="inlineStr">
        <is>
          <t>A</t>
        </is>
      </c>
      <c r="E294" s="31" t="n">
        <v>114</v>
      </c>
      <c r="F294" s="31" t="inlineStr">
        <is>
          <t>3.14.9</t>
        </is>
      </c>
      <c r="G294" s="31" t="inlineStr">
        <is>
          <t>Piscina</t>
        </is>
      </c>
      <c r="H294" s="31" t="inlineStr">
        <is>
          <t>A</t>
        </is>
      </c>
      <c r="I294" s="31" t="inlineStr">
        <is>
          <t>M34AM44AD2</t>
        </is>
      </c>
      <c r="J294" s="32" t="n">
        <v>7.29</v>
      </c>
      <c r="K294" s="32" t="n">
        <v>17.2</v>
      </c>
      <c r="L294" s="33" t="n">
        <v>1</v>
      </c>
      <c r="M294" s="34">
        <f>(J294+K294)*L294</f>
        <v/>
      </c>
      <c r="N294" s="34">
        <f>24.49*L294</f>
        <v/>
      </c>
      <c r="O294" s="34">
        <f>7.29*L294</f>
        <v/>
      </c>
      <c r="P294" s="34">
        <f>17.2*L294</f>
        <v/>
      </c>
      <c r="Q294" s="34" t="n"/>
      <c r="R294" s="34" t="n"/>
      <c r="S294" s="28" t="n">
        <v>2737</v>
      </c>
    </row>
    <row r="295">
      <c r="A295" s="31" t="n">
        <v>294</v>
      </c>
      <c r="B295" s="31" t="inlineStr">
        <is>
          <t>Opcional piscina</t>
        </is>
      </c>
      <c r="C295" s="31" t="inlineStr">
        <is>
          <t>2º Pavimento</t>
        </is>
      </c>
      <c r="D295" s="31" t="inlineStr">
        <is>
          <t>B</t>
        </is>
      </c>
      <c r="E295" s="31" t="n">
        <v>115</v>
      </c>
      <c r="F295" s="31" t="inlineStr">
        <is>
          <t>3.15.9</t>
        </is>
      </c>
      <c r="G295" s="31" t="inlineStr">
        <is>
          <t>Piscina</t>
        </is>
      </c>
      <c r="H295" s="31" t="inlineStr">
        <is>
          <t>A</t>
        </is>
      </c>
      <c r="I295" s="31" t="inlineStr">
        <is>
          <t>M34AM44AD2</t>
        </is>
      </c>
      <c r="J295" s="32" t="n">
        <v>7.29</v>
      </c>
      <c r="K295" s="32" t="n">
        <v>17.2</v>
      </c>
      <c r="L295" s="33" t="n">
        <v>1</v>
      </c>
      <c r="M295" s="34">
        <f>(J295+K295)*L295</f>
        <v/>
      </c>
      <c r="N295" s="34">
        <f>24.49*L295</f>
        <v/>
      </c>
      <c r="O295" s="34">
        <f>7.29*L295</f>
        <v/>
      </c>
      <c r="P295" s="34">
        <f>17.2*L295</f>
        <v/>
      </c>
      <c r="Q295" s="34" t="n"/>
      <c r="R295" s="34" t="n"/>
      <c r="S295" s="28" t="n">
        <v>2942</v>
      </c>
    </row>
    <row r="296">
      <c r="A296" s="31" t="n">
        <v>295</v>
      </c>
      <c r="B296" s="31" t="inlineStr">
        <is>
          <t>Opcional piscina</t>
        </is>
      </c>
      <c r="C296" s="31" t="inlineStr">
        <is>
          <t>2º Pavimento</t>
        </is>
      </c>
      <c r="D296" s="31" t="inlineStr">
        <is>
          <t>C</t>
        </is>
      </c>
      <c r="E296" s="31" t="n">
        <v>116</v>
      </c>
      <c r="F296" s="31" t="inlineStr">
        <is>
          <t>3.16.9</t>
        </is>
      </c>
      <c r="G296" s="31" t="inlineStr">
        <is>
          <t>Piscina</t>
        </is>
      </c>
      <c r="H296" s="31" t="inlineStr">
        <is>
          <t>A</t>
        </is>
      </c>
      <c r="I296" s="31" t="inlineStr">
        <is>
          <t>M34AM44AD2</t>
        </is>
      </c>
      <c r="J296" s="32" t="n">
        <v>7.29</v>
      </c>
      <c r="K296" s="32" t="n">
        <v>17.2</v>
      </c>
      <c r="L296" s="33" t="n">
        <v>1</v>
      </c>
      <c r="M296" s="34">
        <f>(J296+K296)*L296</f>
        <v/>
      </c>
      <c r="N296" s="34">
        <f>24.49*L296</f>
        <v/>
      </c>
      <c r="O296" s="34">
        <f>7.29*L296</f>
        <v/>
      </c>
      <c r="P296" s="34">
        <f>17.2*L296</f>
        <v/>
      </c>
      <c r="Q296" s="34" t="n"/>
      <c r="R296" s="34" t="n"/>
      <c r="S296" s="28" t="n">
        <v>3147</v>
      </c>
    </row>
  </sheetData>
  <autoFilter ref="A1:S2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0" customWidth="1" min="3" max="3"/>
  </cols>
  <sheetData>
    <row r="1">
      <c r="A1" s="11" t="inlineStr">
        <is>
          <t>Código</t>
        </is>
      </c>
      <c r="B1" s="11" t="inlineStr">
        <is>
          <t>Família</t>
        </is>
      </c>
      <c r="C1" s="11" t="inlineStr">
        <is>
          <t>Especificação completa (conforme projeto)</t>
        </is>
      </c>
    </row>
    <row r="2">
      <c r="A2" s="7" t="inlineStr">
        <is>
          <t>I20EL</t>
        </is>
      </c>
      <c r="B2" s="28" t="inlineStr">
        <is>
          <t>Membranas acrílicas</t>
        </is>
      </c>
      <c r="C2" s="14" t="inlineStr">
        <is>
          <t>membrana de polímero acrílico sem cimento (2,0 kg/m²) com resistência à alcalinidade estruturada com tela de poliéster nos pontos críticos - REF. SIKA BAUCRYL; MC DF9; ICOPER HP; PROCRYL IMPER;</t>
        </is>
      </c>
    </row>
    <row r="3">
      <c r="A3" s="7" t="inlineStr">
        <is>
          <t>I30EL</t>
        </is>
      </c>
      <c r="B3" s="28" t="inlineStr">
        <is>
          <t>Membranas acrílicas</t>
        </is>
      </c>
      <c r="C3" s="14" t="inlineStr">
        <is>
          <t>membrana de polímero acrílico sem cimento (3,0 kg/m²) com resistência à alcalinidade estruturada com tela de poliéster nos pontos críticos - REF. SIKA BAUCRYL; MC DF9; ICOPER HP; PROCRYL IMPER;</t>
        </is>
      </c>
    </row>
    <row r="4">
      <c r="A4" s="7" t="inlineStr">
        <is>
          <t>I30</t>
        </is>
      </c>
      <c r="B4" s="28" t="inlineStr">
        <is>
          <t>Membranas acrílicas</t>
        </is>
      </c>
      <c r="C4" s="14" t="inlineStr">
        <is>
          <t>membrana acrílica estruturada com tela de poliéster nos pontos críticos (3,0 kg/m²)</t>
        </is>
      </c>
    </row>
    <row r="5">
      <c r="A5" s="7" t="inlineStr">
        <is>
          <t>D2</t>
        </is>
      </c>
      <c r="B5" s="28" t="inlineStr">
        <is>
          <t>Membranas acrílicas</t>
        </is>
      </c>
      <c r="C5" s="14" t="inlineStr">
        <is>
          <t>membrana de polímero acrílico com cimento estruturada com tela de poliéster nos pontos críticos (2,0 kg/m²)</t>
        </is>
      </c>
    </row>
    <row r="6">
      <c r="A6" s="7" t="inlineStr">
        <is>
          <t>C3</t>
        </is>
      </c>
      <c r="B6" s="28" t="inlineStr">
        <is>
          <t>Cimentícios</t>
        </is>
      </c>
      <c r="C6" s="14" t="inlineStr">
        <is>
          <t>argamassa polimérica rígida estruturada com tela de poliéster nos pontos críticos (3,0 kg/m²)</t>
        </is>
      </c>
    </row>
    <row r="7">
      <c r="A7" s="7" t="inlineStr">
        <is>
          <t>C4</t>
        </is>
      </c>
      <c r="B7" s="28" t="inlineStr">
        <is>
          <t>Cimentícios</t>
        </is>
      </c>
      <c r="C7" s="14" t="inlineStr">
        <is>
          <t>argamassa polimérica rígida estruturada com tela de poliéster nos pontos críticos (4,0 kg/m²)</t>
        </is>
      </c>
    </row>
    <row r="8">
      <c r="A8" s="7" t="inlineStr">
        <is>
          <t>C3I20EL</t>
        </is>
      </c>
      <c r="B8" s="28" t="inlineStr">
        <is>
          <t>Cimentícios</t>
        </is>
      </c>
      <c r="C8" s="14" t="inlineStr">
        <is>
          <t>argamassa polimérica rígida (3,0 kg/m²) + membrana de polímero acrílico sem cimento (2,0 kg/m²) com resistência à alcalinidade estruturada com tela de poliéster nos pontos críticos - REF. SIKA BAUCRYL; MC DF9; ICOPER HP; PROCRYL IMPER;</t>
        </is>
      </c>
    </row>
    <row r="9">
      <c r="A9" s="7" t="inlineStr">
        <is>
          <t>C4RQD3T</t>
        </is>
      </c>
      <c r="B9" s="28" t="inlineStr">
        <is>
          <t>Cimentícios</t>
        </is>
      </c>
      <c r="C9" s="14" t="inlineStr">
        <is>
          <t>argamassa polimérica rígida com alta resistência química e estruturada com tela de poliéster nos pontos críticos (4,0 kg/m²) + membrana de polímero acrílico com cimento totalmente estruturada com tela de poliéster (3,0 kg/m²) -</t>
        </is>
      </c>
    </row>
    <row r="10">
      <c r="A10" s="7" t="inlineStr">
        <is>
          <t>M44A</t>
        </is>
      </c>
      <c r="B10" s="28" t="inlineStr">
        <is>
          <t>Mantas asfálticas</t>
        </is>
      </c>
      <c r="C10" s="14" t="inlineStr">
        <is>
          <t>manta asfáltica tipo IV 4mm A com acabamento areia/areia aderida com asfalto oxidado (3,0 kg/m²) + banho de asfalto oxidado (2,0 kg/m²)</t>
        </is>
      </c>
    </row>
    <row r="11">
      <c r="A11" s="7" t="inlineStr">
        <is>
          <t>M44AC</t>
        </is>
      </c>
      <c r="B11" s="28" t="inlineStr">
        <is>
          <t>Mantas asfálticas</t>
        </is>
      </c>
      <c r="C11" s="14" t="inlineStr">
        <is>
          <t>manta asfáltica tipo IV 4mm A com acabamento areia/areia aderida com asfalto oxidado (3,0 kg/m²) + banho de asfalto oxidado (2,0 kg/m²) + camada de amortecimento</t>
        </is>
      </c>
    </row>
    <row r="12">
      <c r="A12" s="7" t="inlineStr">
        <is>
          <t>M44AD2</t>
        </is>
      </c>
      <c r="B12" s="28" t="inlineStr">
        <is>
          <t>Mantas asfálticas</t>
        </is>
      </c>
      <c r="C12" s="14" t="inlineStr">
        <is>
          <t>manta asfáltica tipo IV 4mm A com acabamento areia/areia aderida com asfalto oxidado (3,0 kg/m²) + banho de asfalto oxidado (2,0 kg/m²) + membrana de polímero acrílico com cimento sob revestimento para combater eflorescência (2,0 kg/m²)</t>
        </is>
      </c>
    </row>
    <row r="13">
      <c r="A13" s="7" t="inlineStr">
        <is>
          <t>M34AM44AD2</t>
        </is>
      </c>
      <c r="B13" s="28" t="inlineStr">
        <is>
          <t>Mantas asfálticas</t>
        </is>
      </c>
      <c r="C13" s="14" t="inlineStr">
        <is>
          <t>manta asfáltica tipo III 4mm A com acabamento areia/areia + manta asfáltica tipo IV 4mm A com acabamento areia/areia aderidas com asfalto oxidado (3,0 kg/m²) + banho de asfalto oxidado (2,0 kg/m²) + membrana de polímero acrílico com cimento sob revestimento para combater eflorescência (2,0 kg/m²)</t>
        </is>
      </c>
    </row>
    <row r="14">
      <c r="A14" s="7" t="inlineStr">
        <is>
          <t>M44AR05</t>
        </is>
      </c>
      <c r="B14" s="28" t="inlineStr">
        <is>
          <t>Mantas asfálticas</t>
        </is>
      </c>
      <c r="C14" s="14" t="inlineStr">
        <is>
          <t>manta asfáltica tipo IV 4mm A com acabamento areia/areia aderida com asfalto oxidado (3,0 kg/m²) + banho de asfalto oxidado (2,0 kg/m²) + pintura de proteção antirraiz sobre a proteção mecânica (0,5 l/m²)</t>
        </is>
      </c>
    </row>
    <row r="15">
      <c r="A15" s="7" t="inlineStr">
        <is>
          <t>M44AXPS</t>
        </is>
      </c>
      <c r="B15" s="28" t="inlineStr">
        <is>
          <t>Mantas asfálticas</t>
        </is>
      </c>
      <c r="C15" s="14" t="inlineStr">
        <is>
          <t>manta asfáltica tipo IV 4mm A com acabamento areia/areia aderida com asfalto oxidado (3,0 kg/m²) + banho de asfalto oxidado (2,0 kg/m²) + isolante térmico em XPS com espessura de 2,5cm</t>
        </is>
      </c>
    </row>
    <row r="16">
      <c r="A16" s="7" t="inlineStr">
        <is>
          <t>JP30A</t>
        </is>
      </c>
      <c r="B16" s="28" t="inlineStr">
        <is>
          <t>Poliuretano</t>
        </is>
      </c>
      <c r="C16" s="14" t="inlineStr">
        <is>
          <t>primer à base de resina epóxi + membrana à base de poliuretano (3,0 kg/m²) estruturada nos pontos críticos e aspersão de agregado de quartzo # 8 - 14 (1,5 kg/m²) na última camada</t>
        </is>
      </c>
    </row>
    <row r="17">
      <c r="A17" s="7" t="inlineStr">
        <is>
          <t>JP30AR05</t>
        </is>
      </c>
      <c r="B17" s="28" t="inlineStr">
        <is>
          <t>Poliuretano</t>
        </is>
      </c>
      <c r="C17" s="14" t="inlineStr">
        <is>
          <t>primer à base de resina epóxi + membrana à base de poliuretano (3,0 kg/m²) estruturada nos pontos críticos e aspersão de agregado de quartzo # 8 - 14 (1,5 kg/m²) na última camada + pintura de proteção antirraiz sobre a proteção mecânica (0,5 l/m²)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34" customWidth="1" min="3" max="3"/>
    <col width="60" customWidth="1" min="4" max="4"/>
    <col width="40" customWidth="1" min="5" max="5"/>
    <col width="40" customWidth="1" min="6" max="6"/>
  </cols>
  <sheetData>
    <row r="1">
      <c r="A1" s="11" t="inlineStr">
        <is>
          <t>#</t>
        </is>
      </c>
      <c r="B1" s="11" t="inlineStr">
        <is>
          <t>Linha(s) na R03</t>
        </is>
      </c>
      <c r="C1" s="11" t="inlineStr">
        <is>
          <t>Ambiente / local</t>
        </is>
      </c>
      <c r="D1" s="11" t="inlineStr">
        <is>
          <t>Problema</t>
        </is>
      </c>
      <c r="E1" s="11" t="inlineStr">
        <is>
          <t>Impacto</t>
        </is>
      </c>
      <c r="F1" s="11" t="inlineStr">
        <is>
          <t>Tratamento neste resumo</t>
        </is>
      </c>
    </row>
    <row r="2">
      <c r="A2" s="28" t="n">
        <v>1</v>
      </c>
      <c r="B2" s="14" t="inlineStr">
        <is>
          <t>640, 656, 672, 688, 704, 720, 757, 1085, 1101, 1117, 1133, 1167, 1585, 1601, 1617, 1633, 1649, 1665, 1699, 2018, 2034, 2279, 2528, 2699, 2919, 3124</t>
        </is>
      </c>
      <c r="C2" s="14" t="inlineStr">
        <is>
          <t>Proteção mecânica vertical (jardins, terraços)</t>
        </is>
      </c>
      <c r="D2" s="14" t="inlineStr">
        <is>
          <t>Custo total (coluna M) multiplica a área da linha de BAIXO (tela), que é vazia: =K641*L640.</t>
        </is>
      </c>
      <c r="E2" s="14" t="inlineStr">
        <is>
          <t>Com preço preenchido, o custo da proteção vertical sairia R$ 0.</t>
        </is>
      </c>
      <c r="F2" s="14" t="inlineStr">
        <is>
          <t>Não afeta quantidades; corrigir na planilha de origem.</t>
        </is>
      </c>
    </row>
    <row r="3">
      <c r="A3" s="28" t="n">
        <v>2</v>
      </c>
      <c r="B3" s="14" t="inlineStr">
        <is>
          <t>40, 175, 265, 3361, 3363, 3364, 3516, 3518, 3519, 3671, 3673, 3674</t>
        </is>
      </c>
      <c r="C3" s="14" t="inlineStr">
        <is>
          <t>Tela de poliéster / itens diversos</t>
        </is>
      </c>
      <c r="D3" s="14" t="inlineStr">
        <is>
          <t>Custo total digitado como 0 (valor fixo) em vez de fórmula.</t>
        </is>
      </c>
      <c r="E3" s="14" t="inlineStr">
        <is>
          <t>Com preço preenchido, o custo dessas linhas sairia R$ 0.</t>
        </is>
      </c>
      <c r="F3" s="14" t="inlineStr">
        <is>
          <t>Não afeta quantidades; corrigir na planilha de origem.</t>
        </is>
      </c>
    </row>
    <row r="4">
      <c r="A4" s="28" t="n">
        <v>3</v>
      </c>
      <c r="B4" s="14" t="inlineStr">
        <is>
          <t>45, 180, 270</t>
        </is>
      </c>
      <c r="C4" s="14" t="inlineStr">
        <is>
          <t>Totais do sistema C3I20EL (subsolos)</t>
        </is>
      </c>
      <c r="D4" s="14" t="inlineStr">
        <is>
          <t>Fórmula soma células de cabeçalho/linhas de outros ambientes (ex.: =K7+K19+K31+K43). Hoje dá o valor certo por coincidência.</t>
        </is>
      </c>
      <c r="E4" s="14" t="inlineStr">
        <is>
          <t>Frágil: quebra se linhas forem inseridas.</t>
        </is>
      </c>
      <c r="F4" s="14" t="inlineStr">
        <is>
          <t>Totais refeitos por SUMIFS a partir da Memória.</t>
        </is>
      </c>
    </row>
    <row r="5">
      <c r="A5" s="28" t="n">
        <v>4</v>
      </c>
      <c r="B5" s="14" t="inlineStr">
        <is>
          <t>todas</t>
        </is>
      </c>
      <c r="C5" s="14" t="inlineStr">
        <is>
          <t>Estrutura geral</t>
        </is>
      </c>
      <c r="D5" s="14" t="inlineStr">
        <is>
          <t>Totais por sistema/pavimento montados manualmente, célula a célula (96 subtotais).</t>
        </is>
      </c>
      <c r="E5" s="14" t="inlineStr">
        <is>
          <t>Alto risco de erro em revisões futuras.</t>
        </is>
      </c>
      <c r="F5" s="14" t="inlineStr">
        <is>
          <t>Totais refeitos por SUMIFS; conferidos com a R03 (batem, exceto proteção mecânica acima).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2026-09-24T12:07:30Z</dcterms:created>
  <dcterms:modified xsi:type="dcterms:W3CDTF">2026-09-24T12:07:30Z</dcterms:modified>
</cp:coreProperties>
</file>